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YATI PATEL\Downloads\"/>
    </mc:Choice>
  </mc:AlternateContent>
  <xr:revisionPtr revIDLastSave="0" documentId="13_ncr:1_{0FF19403-9C97-4157-B1D2-97BB11B27D61}" xr6:coauthVersionLast="47" xr6:coauthVersionMax="47" xr10:uidLastSave="{00000000-0000-0000-0000-000000000000}"/>
  <bookViews>
    <workbookView xWindow="-108" yWindow="-108" windowWidth="23256" windowHeight="12456" xr2:uid="{0835D386-3897-436D-9046-3B3F5B524557}"/>
  </bookViews>
  <sheets>
    <sheet name="Final Project Dataset" sheetId="1" r:id="rId1"/>
    <sheet name="Scenario Summary 2" sheetId="4" r:id="rId2"/>
    <sheet name="Analysis" sheetId="2" r:id="rId3"/>
    <sheet name="regression analysis" sheetId="6" r:id="rId4"/>
    <sheet name="product analysis" sheetId="7" r:id="rId5"/>
    <sheet name="regressio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B2" i="7" a="1"/>
  <c r="A2" i="7" a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B2" i="5"/>
  <c r="A2" i="5"/>
  <c r="A21" i="2" a="1"/>
  <c r="B12" i="2"/>
  <c r="B15" i="2" s="1"/>
  <c r="B11" i="2"/>
  <c r="B13" i="2" s="1"/>
  <c r="B10" i="2"/>
  <c r="B9" i="2"/>
  <c r="B5" i="2"/>
  <c r="B4" i="2"/>
  <c r="B3" i="2"/>
  <c r="B2" i="2"/>
  <c r="B27" i="2" l="1"/>
  <c r="B30" i="2" s="1"/>
  <c r="B26" i="2"/>
  <c r="B28" i="2" l="1"/>
  <c r="O60" i="1" l="1"/>
  <c r="O41" i="1"/>
  <c r="O22" i="1"/>
  <c r="O217" i="1"/>
  <c r="O151" i="1"/>
  <c r="O238" i="1"/>
  <c r="O186" i="1"/>
  <c r="O33" i="1"/>
  <c r="O147" i="1"/>
  <c r="O6" i="1"/>
  <c r="O70" i="1"/>
  <c r="O241" i="1"/>
  <c r="O162" i="1"/>
  <c r="O231" i="1"/>
  <c r="O58" i="1"/>
  <c r="O164" i="1"/>
  <c r="O125" i="1"/>
  <c r="O2" i="1"/>
  <c r="O192" i="1"/>
  <c r="O165" i="1"/>
  <c r="O7" i="1"/>
  <c r="O47" i="1"/>
  <c r="O211" i="1"/>
  <c r="O187" i="1"/>
  <c r="O18" i="1"/>
  <c r="O78" i="1"/>
  <c r="O104" i="1"/>
  <c r="O213" i="1"/>
  <c r="O250" i="1"/>
  <c r="O16" i="1"/>
  <c r="O159" i="1"/>
  <c r="O199" i="1"/>
  <c r="O122" i="1"/>
  <c r="O233" i="1"/>
  <c r="O75" i="1"/>
  <c r="O172" i="1"/>
  <c r="O200" i="1"/>
  <c r="O19" i="1"/>
  <c r="O185" i="1"/>
  <c r="O62" i="1"/>
  <c r="O55" i="1"/>
  <c r="O14" i="1"/>
  <c r="O101" i="1"/>
  <c r="O86" i="1"/>
  <c r="O77" i="1"/>
  <c r="O225" i="1"/>
  <c r="O195" i="1"/>
  <c r="O150" i="1"/>
  <c r="O190" i="1"/>
  <c r="O248" i="1"/>
  <c r="O184" i="1"/>
  <c r="O98" i="1"/>
  <c r="O226" i="1"/>
  <c r="O157" i="1"/>
  <c r="O146" i="1"/>
  <c r="O160" i="1"/>
  <c r="O137" i="1"/>
  <c r="O145" i="1"/>
  <c r="O96" i="1"/>
  <c r="O80" i="1"/>
  <c r="O100" i="1"/>
  <c r="O79" i="1"/>
  <c r="O154" i="1"/>
  <c r="O51" i="1"/>
  <c r="O20" i="1"/>
  <c r="O251" i="1"/>
  <c r="O118" i="1"/>
  <c r="O84" i="1"/>
  <c r="O64" i="1"/>
  <c r="O87" i="1"/>
  <c r="O3" i="1"/>
  <c r="O196" i="1"/>
  <c r="O243" i="1"/>
  <c r="O194" i="1"/>
  <c r="O30" i="1"/>
  <c r="O94" i="1"/>
  <c r="O49" i="1"/>
  <c r="O152" i="1"/>
  <c r="O121" i="1"/>
  <c r="O9" i="1"/>
  <c r="O23" i="1"/>
  <c r="O183" i="1"/>
  <c r="O108" i="1"/>
  <c r="O102" i="1"/>
  <c r="O15" i="1"/>
  <c r="O163" i="1"/>
  <c r="O74" i="1"/>
  <c r="O13" i="1"/>
  <c r="O239" i="1"/>
  <c r="O221" i="1"/>
  <c r="O204" i="1"/>
  <c r="O40" i="1"/>
  <c r="O197" i="1"/>
  <c r="O219" i="1"/>
  <c r="O43" i="1"/>
  <c r="O54" i="1"/>
  <c r="O234" i="1"/>
  <c r="O68" i="1"/>
  <c r="O8" i="1"/>
  <c r="O134" i="1"/>
  <c r="O50" i="1"/>
  <c r="O44" i="1"/>
  <c r="O103" i="1"/>
  <c r="O171" i="1"/>
  <c r="O107" i="1"/>
  <c r="O129" i="1"/>
  <c r="O93" i="1"/>
  <c r="O11" i="1"/>
  <c r="O4" i="1"/>
  <c r="O242" i="1"/>
  <c r="O201" i="1"/>
  <c r="O175" i="1"/>
  <c r="O106" i="1"/>
  <c r="O218" i="1"/>
  <c r="O130" i="1"/>
  <c r="O97" i="1"/>
  <c r="O114" i="1"/>
  <c r="O208" i="1"/>
  <c r="O72" i="1"/>
  <c r="O83" i="1"/>
  <c r="O82" i="1"/>
  <c r="O69" i="1"/>
  <c r="O139" i="1"/>
  <c r="O116" i="1"/>
  <c r="O144" i="1"/>
  <c r="O168" i="1"/>
  <c r="O191" i="1"/>
  <c r="O142" i="1"/>
  <c r="O155" i="1"/>
  <c r="O61" i="1"/>
  <c r="O91" i="1"/>
  <c r="O133" i="1"/>
  <c r="O136" i="1"/>
  <c r="O89" i="1"/>
  <c r="O188" i="1"/>
  <c r="O223" i="1"/>
  <c r="O115" i="1"/>
  <c r="O212" i="1"/>
  <c r="O36" i="1"/>
  <c r="O148" i="1"/>
  <c r="O10" i="1"/>
  <c r="O240" i="1"/>
  <c r="O207" i="1"/>
  <c r="O99" i="1"/>
  <c r="O156" i="1"/>
  <c r="O178" i="1"/>
  <c r="O220" i="1"/>
  <c r="O229" i="1"/>
  <c r="O32" i="1"/>
  <c r="O141" i="1"/>
  <c r="O215" i="1"/>
  <c r="O176" i="1"/>
  <c r="O158" i="1"/>
  <c r="O182" i="1"/>
  <c r="O119" i="1"/>
  <c r="O140" i="1"/>
  <c r="O235" i="1"/>
  <c r="O161" i="1"/>
  <c r="O57" i="1"/>
  <c r="O111" i="1"/>
  <c r="O120" i="1"/>
  <c r="O193" i="1"/>
  <c r="O88" i="1"/>
  <c r="O39" i="1"/>
  <c r="O52" i="1"/>
  <c r="O189" i="1"/>
  <c r="O135" i="1"/>
  <c r="O203" i="1"/>
  <c r="O21" i="1"/>
  <c r="O222" i="1"/>
  <c r="O230" i="1"/>
  <c r="O143" i="1"/>
  <c r="O232" i="1"/>
  <c r="O66" i="1"/>
  <c r="O56" i="1"/>
  <c r="O59" i="1"/>
  <c r="O174" i="1"/>
  <c r="O209" i="1"/>
  <c r="O113" i="1"/>
  <c r="O177" i="1"/>
  <c r="O227" i="1"/>
  <c r="O92" i="1"/>
  <c r="O109" i="1"/>
  <c r="O236" i="1"/>
  <c r="O63" i="1"/>
  <c r="O76" i="1"/>
  <c r="O244" i="1"/>
  <c r="O29" i="1"/>
  <c r="O35" i="1"/>
  <c r="O42" i="1"/>
  <c r="O26" i="1"/>
  <c r="O245" i="1"/>
  <c r="O105" i="1"/>
  <c r="O179" i="1"/>
  <c r="O28" i="1"/>
  <c r="O246" i="1"/>
  <c r="O38" i="1"/>
  <c r="O90" i="1"/>
  <c r="O170" i="1"/>
  <c r="O25" i="1"/>
  <c r="O167" i="1"/>
  <c r="O206" i="1"/>
  <c r="O24" i="1"/>
  <c r="O112" i="1"/>
  <c r="O181" i="1"/>
  <c r="O53" i="1"/>
  <c r="O110" i="1"/>
  <c r="O124" i="1"/>
  <c r="O81" i="1"/>
  <c r="O153" i="1"/>
  <c r="O169" i="1"/>
  <c r="O132" i="1"/>
  <c r="O224" i="1"/>
  <c r="O17" i="1"/>
  <c r="O149" i="1"/>
  <c r="O73" i="1"/>
  <c r="O128" i="1"/>
  <c r="O173" i="1"/>
  <c r="O166" i="1"/>
  <c r="O180" i="1"/>
  <c r="O127" i="1"/>
  <c r="O216" i="1"/>
  <c r="O95" i="1"/>
  <c r="O237" i="1"/>
  <c r="O202" i="1"/>
  <c r="O214" i="1"/>
  <c r="O205" i="1"/>
  <c r="O123" i="1"/>
  <c r="O27" i="1"/>
  <c r="O65" i="1"/>
  <c r="O46" i="1"/>
  <c r="O5" i="1"/>
  <c r="O71" i="1"/>
  <c r="O131" i="1"/>
  <c r="O12" i="1"/>
  <c r="O37" i="1"/>
  <c r="O34" i="1"/>
  <c r="O228" i="1"/>
  <c r="O117" i="1"/>
  <c r="O67" i="1"/>
  <c r="O45" i="1"/>
  <c r="O138" i="1"/>
  <c r="O210" i="1"/>
  <c r="O198" i="1"/>
  <c r="O247" i="1"/>
  <c r="O126" i="1"/>
  <c r="O31" i="1"/>
  <c r="O249" i="1"/>
  <c r="O85" i="1"/>
  <c r="O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<sst xmlns="http://schemas.openxmlformats.org/spreadsheetml/2006/main" count="2336" uniqueCount="466">
  <si>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</si>
  <si>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</si>
  <si>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</si>
  <si>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</si>
  <si>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</si>
  <si>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</si>
  <si>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</si>
  <si>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</si>
  <si>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</si>
  <si>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</si>
  <si>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</si>
  <si>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</si>
  <si>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</si>
  <si>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</si>
  <si>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</si>
  <si>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</si>
  <si>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</si>
  <si>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</si>
  <si>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</si>
  <si>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</si>
  <si>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</si>
  <si>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</si>
  <si>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</si>
  <si>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</si>
  <si>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</si>
  <si>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</si>
  <si>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</si>
  <si>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</si>
  <si>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</si>
  <si>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</si>
  <si>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</si>
  <si>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</si>
  <si>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</si>
  <si>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</si>
  <si>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</si>
  <si>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</si>
  <si>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</si>
  <si>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</si>
  <si>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</si>
  <si>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</si>
  <si>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</si>
  <si>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</si>
  <si>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</si>
  <si>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</si>
  <si>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</si>
  <si>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</si>
  <si>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</si>
  <si>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</si>
  <si>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</si>
  <si>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</si>
  <si>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</si>
  <si>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</si>
  <si>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</si>
  <si>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</si>
  <si>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</si>
  <si>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</si>
  <si>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</si>
  <si>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</si>
  <si>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</si>
  <si>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</si>
  <si>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</si>
  <si>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</si>
  <si>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</si>
  <si>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</si>
  <si>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</si>
  <si>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</si>
  <si>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</si>
  <si>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</si>
  <si>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</si>
  <si>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</si>
  <si>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</si>
  <si>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</si>
  <si>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</si>
  <si>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</si>
  <si>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</si>
  <si>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</si>
  <si>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</si>
  <si>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</si>
  <si>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</si>
  <si>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</si>
  <si>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</si>
  <si>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</si>
  <si>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</si>
  <si>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</si>
  <si>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</si>
  <si>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</si>
  <si>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</si>
  <si>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</si>
  <si>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</si>
  <si>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</si>
  <si>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</si>
  <si>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</si>
  <si>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</si>
  <si>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</si>
  <si>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</si>
  <si>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</si>
  <si>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</si>
  <si>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</si>
  <si>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</si>
  <si>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</si>
  <si>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</si>
  <si>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</si>
  <si>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</si>
  <si>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</si>
  <si>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</si>
  <si>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</si>
  <si>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</si>
  <si>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</si>
  <si>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</si>
  <si>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</si>
  <si>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</si>
  <si>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</si>
  <si>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</si>
  <si>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</si>
  <si>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</si>
  <si>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</si>
  <si>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</si>
  <si>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</si>
  <si>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</si>
  <si>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</si>
  <si>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</si>
  <si>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</si>
  <si>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</si>
  <si>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</si>
  <si>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</si>
  <si>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</si>
  <si>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</si>
  <si>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</si>
  <si>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</si>
  <si>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</si>
  <si>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</si>
  <si>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</si>
  <si>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</si>
  <si>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</si>
  <si>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</si>
  <si>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</si>
  <si>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</si>
  <si>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</si>
  <si>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</si>
  <si>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</si>
  <si>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</si>
  <si>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</si>
  <si>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</si>
  <si>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</si>
  <si>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</si>
  <si>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</si>
  <si>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</si>
  <si>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</si>
  <si>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</si>
  <si>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</si>
  <si>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</si>
  <si>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</si>
  <si>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</si>
  <si>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</si>
  <si>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</si>
  <si>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</si>
  <si>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</si>
  <si>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</si>
  <si>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</si>
  <si>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</si>
  <si>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</si>
  <si>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</si>
  <si>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</si>
  <si>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</si>
  <si>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</si>
  <si>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</si>
  <si>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</si>
  <si>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</si>
  <si>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</si>
  <si>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</si>
  <si>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</si>
  <si>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</si>
  <si>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</si>
  <si>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</si>
  <si>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</si>
  <si>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</si>
  <si>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</si>
  <si>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</si>
  <si>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</si>
  <si>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</si>
  <si>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</si>
  <si>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</si>
  <si>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</si>
  <si>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</si>
  <si>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</si>
  <si>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</si>
  <si>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</si>
  <si>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</si>
  <si>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</si>
  <si>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</si>
  <si>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</si>
  <si>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</si>
  <si>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</si>
  <si>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</si>
  <si>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</si>
  <si>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</si>
  <si>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</si>
  <si>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</si>
  <si>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</si>
  <si>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</si>
  <si>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</si>
  <si>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</si>
  <si>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</si>
  <si>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</si>
  <si>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</si>
  <si>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</si>
  <si>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</si>
  <si>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</si>
  <si>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</si>
  <si>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</si>
  <si>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</si>
  <si>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</si>
  <si>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</si>
  <si>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</si>
  <si>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</si>
  <si>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</si>
  <si>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</si>
  <si>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</si>
  <si>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</si>
  <si>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</si>
  <si>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</si>
  <si>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</si>
  <si>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</si>
  <si>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</si>
  <si>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</si>
  <si>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</si>
  <si>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</si>
  <si>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</si>
  <si>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</si>
  <si>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</si>
  <si>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</si>
  <si>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</si>
  <si>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</si>
  <si>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</si>
  <si>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</si>
  <si>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</si>
  <si>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</si>
  <si>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</si>
  <si>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</si>
  <si>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</si>
  <si>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</si>
  <si>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</si>
  <si>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</si>
  <si>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</si>
  <si>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</si>
  <si>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</si>
  <si>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</si>
  <si>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</si>
  <si>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</si>
  <si>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</si>
  <si>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</si>
  <si>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</si>
  <si>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</si>
  <si>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</si>
  <si>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</si>
  <si>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</si>
  <si>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</si>
  <si>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</si>
  <si>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</si>
  <si>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</si>
  <si>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</si>
  <si>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</si>
  <si>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</si>
  <si>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</si>
  <si>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</si>
  <si>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</si>
  <si>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</si>
  <si>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</si>
  <si>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</si>
  <si>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</si>
  <si>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</si>
  <si>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</si>
  <si>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</si>
  <si>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</si>
  <si>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</si>
  <si>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</si>
  <si>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</si>
  <si>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</si>
  <si>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</si>
  <si>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</si>
  <si>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</si>
  <si>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</si>
  <si>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</si>
  <si>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</si>
  <si>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</si>
  <si>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</si>
  <si>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</si>
  <si>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</si>
  <si>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</si>
  <si>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</si>
  <si>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</si>
  <si>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</si>
  <si>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</si>
  <si>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</si>
  <si>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</si>
  <si>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</si>
  <si>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</si>
  <si>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</si>
  <si>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</si>
  <si>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</si>
  <si>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</si>
  <si>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</si>
  <si>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</si>
  <si>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</si>
  <si>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</si>
  <si>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</si>
  <si>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</si>
  <si>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</si>
  <si>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</si>
  <si>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</si>
  <si>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</si>
  <si>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</si>
  <si>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</si>
  <si>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</si>
  <si>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</si>
  <si>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</si>
  <si>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</si>
  <si>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</si>
  <si>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</si>
  <si>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</si>
  <si>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</si>
  <si>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</si>
  <si>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</si>
  <si>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</si>
  <si>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</si>
  <si>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</si>
  <si>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</si>
  <si>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</si>
  <si>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</si>
  <si>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</si>
  <si>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</si>
  <si>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</si>
  <si>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</si>
  <si>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</si>
  <si>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</si>
  <si>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</si>
  <si>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</si>
  <si>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</si>
  <si>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</si>
  <si>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</si>
  <si>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</si>
  <si>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</si>
  <si>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</si>
  <si>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</si>
  <si>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</si>
  <si>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</si>
  <si>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</si>
  <si>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</si>
  <si>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</si>
  <si>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</si>
  <si>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</si>
  <si>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</si>
  <si>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</si>
  <si>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</si>
  <si>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</si>
  <si>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</si>
  <si>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</si>
  <si>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</si>
  <si>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</si>
  <si>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</si>
  <si>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</si>
  <si>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</si>
  <si>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</si>
  <si>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</si>
  <si>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</si>
  <si>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</si>
  <si>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</si>
  <si>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</si>
  <si>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</si>
  <si>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</si>
  <si>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</si>
  <si>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</si>
  <si>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</si>
  <si>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</si>
  <si>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</si>
  <si>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</si>
  <si>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</si>
  <si>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</si>
  <si>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</si>
  <si>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</si>
  <si>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</si>
  <si>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</si>
  <si>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</si>
  <si>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</si>
  <si>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</si>
  <si>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</si>
  <si>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</si>
  <si>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</si>
  <si>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</si>
  <si>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</si>
  <si>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</si>
  <si>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</si>
  <si>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</si>
  <si>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</si>
  <si>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</si>
  <si>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</si>
  <si>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</si>
  <si>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</si>
  <si>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</si>
  <si>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Customer Transaction Analysis</t>
  </si>
  <si>
    <t>Total Revenue</t>
  </si>
  <si>
    <t>Total Transactions</t>
  </si>
  <si>
    <t>Total Quantity Sold</t>
  </si>
  <si>
    <t>Average Transaction Value</t>
  </si>
  <si>
    <t>Date and time Analysis</t>
  </si>
  <si>
    <t>today's date</t>
  </si>
  <si>
    <t xml:space="preserve">current date and time </t>
  </si>
  <si>
    <t>first transaction date</t>
  </si>
  <si>
    <t>last transaction date</t>
  </si>
  <si>
    <t>customer duration</t>
  </si>
  <si>
    <t>End of last transcation month</t>
  </si>
  <si>
    <t>Filter analysis</t>
  </si>
  <si>
    <t>Select region</t>
  </si>
  <si>
    <t>Filtered Transactions</t>
  </si>
  <si>
    <t>Timestamp</t>
  </si>
  <si>
    <t>what if analysis</t>
  </si>
  <si>
    <t>current total revenue</t>
  </si>
  <si>
    <t>target revenue</t>
  </si>
  <si>
    <t>additional revenue needed</t>
  </si>
  <si>
    <t>average revenue per unit</t>
  </si>
  <si>
    <t>requried total quantity</t>
  </si>
  <si>
    <t>test Quantity</t>
  </si>
  <si>
    <t>test revenue</t>
  </si>
  <si>
    <t>$B$24</t>
  </si>
  <si>
    <t>pessimistic</t>
  </si>
  <si>
    <t>Created by NIYATI PATEL on 13-10-2026</t>
  </si>
  <si>
    <t>normal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</si>
  <si>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</si>
  <si>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</si>
  <si>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</si>
  <si>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</si>
  <si>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</si>
  <si>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</si>
  <si>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</si>
  <si>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Created by NIYATI PATEL on 13-10-2026
Modified by NIYATI PATEL on 13-10-2026</t>
  </si>
  <si>
    <t>optimistic</t>
  </si>
  <si>
    <t>quantity</t>
  </si>
  <si>
    <t>total amount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</si>
  <si>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</si>
  <si>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</si>
  <si>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</si>
  <si>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</si>
  <si>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</si>
  <si>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</si>
  <si>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</si>
  <si>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</si>
  <si>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</si>
  <si>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</si>
  <si>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</si>
  <si>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</si>
  <si>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</si>
  <si>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</si>
  <si>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</si>
  <si>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</si>
  <si>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</si>
  <si>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</si>
  <si>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</si>
  <si>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</si>
  <si>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</si>
  <si>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</si>
  <si>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</si>
  <si>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</si>
  <si>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product name</t>
  </si>
  <si>
    <t>purchase frequnecy</t>
  </si>
  <si>
    <t xml:space="preserve">most frequency pirchased product </t>
  </si>
  <si>
    <t>purchase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</si>
</sst>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0" fillId="0" borderId="0" xfId="0" applyNumberFormat="1"/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4" xfId="0" applyFill="1" applyBorder="1" applyAlignment="1"/>
    <xf numFmtId="0" fontId="3" fillId="2" borderId="5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6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0" fillId="4" borderId="0" xfId="0" applyFill="1" applyBorder="1" applyAlignment="1"/>
    <xf numFmtId="0" fontId="7" fillId="0" borderId="0" xfId="0" applyFont="1" applyFill="1" applyBorder="1" applyAlignment="1">
      <alignment vertical="top" wrapText="1"/>
    </xf>
    <xf numFmtId="0" fontId="8" fillId="0" borderId="7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A640-4FED-43F8-B2E2-89C15A717572}">
  <dimension ref="A1:O251"/>
  <sheetViews>
    <sheetView tabSelected="1" topLeftCell="G1" zoomScale="77" zoomScaleNormal="77" workbookViewId="0">
      <selection activeCell="S15" sqref="S15"/>
    </sheetView>
  </sheetViews>
  <sheetFormatPr defaultRowHeight="14.4" x14ac:dyDescent="0.3"/>
  <cols>
    <col min="1" max="14" width="19.33203125" style="5" customWidth="1"/>
    <col min="15" max="15" width="11.77734375" customWidth="1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414</v>
      </c>
    </row>
    <row r="2" spans="1:15" ht="15" thickBot="1" x14ac:dyDescent="0.35">
      <c r="A2" s="3" t="s">
        <v>14</v>
      </c>
      <c r="B2" s="4">
        <v>45393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3</v>
      </c>
      <c r="I2" s="3">
        <v>249.99</v>
      </c>
      <c r="J2" s="3" t="s">
        <v>20</v>
      </c>
      <c r="K2" s="3" t="s">
        <v>21</v>
      </c>
      <c r="L2" s="3" t="s">
        <v>22</v>
      </c>
      <c r="M2" s="4">
        <v>44425</v>
      </c>
      <c r="N2" s="3">
        <v>749.97</v>
      </c>
      <c r="O2">
        <f ca="1">IF(A2&lt;&gt;"",IF(O2="",NOW(),O2),"")</f>
        <v>0</v>
      </c>
    </row>
    <row r="3" spans="1:15" ht="15" thickBot="1" x14ac:dyDescent="0.35">
      <c r="A3" s="3" t="s">
        <v>23</v>
      </c>
      <c r="B3" s="4">
        <v>45396</v>
      </c>
      <c r="C3" s="3" t="s">
        <v>24</v>
      </c>
      <c r="D3" s="3" t="s">
        <v>25</v>
      </c>
      <c r="E3" s="3" t="s">
        <v>17</v>
      </c>
      <c r="F3" s="3" t="s">
        <v>18</v>
      </c>
      <c r="G3" s="3" t="s">
        <v>19</v>
      </c>
      <c r="H3" s="3">
        <v>3</v>
      </c>
      <c r="I3" s="3">
        <v>249.99</v>
      </c>
      <c r="J3" s="3" t="s">
        <v>26</v>
      </c>
      <c r="K3" s="3" t="s">
        <v>21</v>
      </c>
      <c r="L3" s="3" t="s">
        <v>27</v>
      </c>
      <c r="M3" s="4">
        <v>44575</v>
      </c>
      <c r="N3" s="3">
        <v>749.97</v>
      </c>
      <c r="O3">
        <f t="shared" ref="O3:O66" ca="1" si="0">IF(A3&lt;&gt;"",IF(O3="",NOW(),O3),"")</f>
        <v>0</v>
      </c>
    </row>
    <row r="4" spans="1:15" ht="15" thickBot="1" x14ac:dyDescent="0.35">
      <c r="A4" s="3" t="s">
        <v>28</v>
      </c>
      <c r="B4" s="4">
        <v>45399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>
        <v>3</v>
      </c>
      <c r="I4" s="3">
        <v>59.99</v>
      </c>
      <c r="J4" s="3" t="s">
        <v>34</v>
      </c>
      <c r="K4" s="3" t="s">
        <v>35</v>
      </c>
      <c r="L4" s="3" t="s">
        <v>36</v>
      </c>
      <c r="M4" s="4">
        <v>45262</v>
      </c>
      <c r="N4" s="3">
        <v>179.97</v>
      </c>
      <c r="O4">
        <f t="shared" ca="1" si="0"/>
        <v>0</v>
      </c>
    </row>
    <row r="5" spans="1:15" ht="15" thickBot="1" x14ac:dyDescent="0.35">
      <c r="A5" s="3" t="s">
        <v>37</v>
      </c>
      <c r="B5" s="4">
        <v>45400</v>
      </c>
      <c r="C5" s="3" t="s">
        <v>38</v>
      </c>
      <c r="D5" s="3" t="s">
        <v>39</v>
      </c>
      <c r="E5" s="3" t="s">
        <v>31</v>
      </c>
      <c r="F5" s="3" t="s">
        <v>32</v>
      </c>
      <c r="G5" s="3" t="s">
        <v>33</v>
      </c>
      <c r="H5" s="3">
        <v>3</v>
      </c>
      <c r="I5" s="3">
        <v>59.99</v>
      </c>
      <c r="J5" s="3" t="s">
        <v>20</v>
      </c>
      <c r="K5" s="3" t="s">
        <v>40</v>
      </c>
      <c r="L5" s="3" t="s">
        <v>27</v>
      </c>
      <c r="M5" s="4">
        <v>45114</v>
      </c>
      <c r="N5" s="3">
        <v>179.97</v>
      </c>
      <c r="O5">
        <f t="shared" ca="1" si="0"/>
        <v>0</v>
      </c>
    </row>
    <row r="6" spans="1:15" ht="15" thickBot="1" x14ac:dyDescent="0.35">
      <c r="A6" s="3" t="s">
        <v>41</v>
      </c>
      <c r="B6" s="4">
        <v>45400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>
        <v>5</v>
      </c>
      <c r="I6" s="3">
        <v>149.99</v>
      </c>
      <c r="J6" s="3" t="s">
        <v>26</v>
      </c>
      <c r="K6" s="3" t="s">
        <v>40</v>
      </c>
      <c r="L6" s="3" t="s">
        <v>27</v>
      </c>
      <c r="M6" s="4">
        <v>45295</v>
      </c>
      <c r="N6" s="3">
        <v>749.95</v>
      </c>
      <c r="O6">
        <f t="shared" ca="1" si="0"/>
        <v>0</v>
      </c>
    </row>
    <row r="7" spans="1:15" ht="15" thickBot="1" x14ac:dyDescent="0.35">
      <c r="A7" s="3" t="s">
        <v>47</v>
      </c>
      <c r="B7" s="4">
        <v>45403</v>
      </c>
      <c r="C7" s="3" t="s">
        <v>48</v>
      </c>
      <c r="D7" s="3" t="s">
        <v>49</v>
      </c>
      <c r="E7" s="3" t="s">
        <v>31</v>
      </c>
      <c r="F7" s="3" t="s">
        <v>32</v>
      </c>
      <c r="G7" s="3" t="s">
        <v>33</v>
      </c>
      <c r="H7" s="3">
        <v>2</v>
      </c>
      <c r="I7" s="3">
        <v>59.99</v>
      </c>
      <c r="J7" s="3" t="s">
        <v>20</v>
      </c>
      <c r="K7" s="3" t="s">
        <v>50</v>
      </c>
      <c r="L7" s="3" t="s">
        <v>36</v>
      </c>
      <c r="M7" s="4">
        <v>44746</v>
      </c>
      <c r="N7" s="3">
        <v>119.98</v>
      </c>
      <c r="O7">
        <f t="shared" ca="1" si="0"/>
        <v>0</v>
      </c>
    </row>
    <row r="8" spans="1:15" ht="15" thickBot="1" x14ac:dyDescent="0.35">
      <c r="A8" s="3" t="s">
        <v>51</v>
      </c>
      <c r="B8" s="4">
        <v>45403</v>
      </c>
      <c r="C8" s="3" t="s">
        <v>48</v>
      </c>
      <c r="D8" s="3" t="s">
        <v>49</v>
      </c>
      <c r="E8" s="3" t="s">
        <v>52</v>
      </c>
      <c r="F8" s="3" t="s">
        <v>53</v>
      </c>
      <c r="G8" s="3" t="s">
        <v>19</v>
      </c>
      <c r="H8" s="3">
        <v>5</v>
      </c>
      <c r="I8" s="3">
        <v>149.99</v>
      </c>
      <c r="J8" s="3" t="s">
        <v>26</v>
      </c>
      <c r="K8" s="3" t="s">
        <v>21</v>
      </c>
      <c r="L8" s="3" t="s">
        <v>36</v>
      </c>
      <c r="M8" s="4">
        <v>44418</v>
      </c>
      <c r="N8" s="3">
        <v>749.95</v>
      </c>
      <c r="O8">
        <f t="shared" ca="1" si="0"/>
        <v>0</v>
      </c>
    </row>
    <row r="9" spans="1:15" ht="15" thickBot="1" x14ac:dyDescent="0.35">
      <c r="A9" s="3" t="s">
        <v>54</v>
      </c>
      <c r="B9" s="4">
        <v>45403</v>
      </c>
      <c r="C9" s="3" t="s">
        <v>55</v>
      </c>
      <c r="D9" s="3" t="s">
        <v>56</v>
      </c>
      <c r="E9" s="3" t="s">
        <v>31</v>
      </c>
      <c r="F9" s="3" t="s">
        <v>32</v>
      </c>
      <c r="G9" s="3" t="s">
        <v>33</v>
      </c>
      <c r="H9" s="3">
        <v>3</v>
      </c>
      <c r="I9" s="3">
        <v>59.99</v>
      </c>
      <c r="J9" s="3" t="s">
        <v>57</v>
      </c>
      <c r="K9" s="3" t="s">
        <v>35</v>
      </c>
      <c r="L9" s="3" t="s">
        <v>22</v>
      </c>
      <c r="M9" s="4">
        <v>45007</v>
      </c>
      <c r="N9" s="3">
        <v>179.97</v>
      </c>
      <c r="O9">
        <f t="shared" ca="1" si="0"/>
        <v>0</v>
      </c>
    </row>
    <row r="10" spans="1:15" ht="15" thickBot="1" x14ac:dyDescent="0.35">
      <c r="A10" s="3" t="s">
        <v>58</v>
      </c>
      <c r="B10" s="4">
        <v>45405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19</v>
      </c>
      <c r="H10" s="3">
        <v>3</v>
      </c>
      <c r="I10" s="3">
        <v>899.99</v>
      </c>
      <c r="J10" s="3" t="s">
        <v>34</v>
      </c>
      <c r="K10" s="3" t="s">
        <v>63</v>
      </c>
      <c r="L10" s="3" t="s">
        <v>36</v>
      </c>
      <c r="M10" s="4">
        <v>45299</v>
      </c>
      <c r="N10" s="3">
        <v>2699.97</v>
      </c>
      <c r="O10">
        <f t="shared" ca="1" si="0"/>
        <v>0</v>
      </c>
    </row>
    <row r="11" spans="1:15" ht="15" thickBot="1" x14ac:dyDescent="0.35">
      <c r="A11" s="3" t="s">
        <v>64</v>
      </c>
      <c r="B11" s="4">
        <v>45408</v>
      </c>
      <c r="C11" s="3" t="s">
        <v>65</v>
      </c>
      <c r="D11" s="3" t="s">
        <v>66</v>
      </c>
      <c r="E11" s="3" t="s">
        <v>31</v>
      </c>
      <c r="F11" s="3" t="s">
        <v>32</v>
      </c>
      <c r="G11" s="3" t="s">
        <v>33</v>
      </c>
      <c r="H11" s="3">
        <v>3</v>
      </c>
      <c r="I11" s="3">
        <v>59.99</v>
      </c>
      <c r="J11" s="3" t="s">
        <v>20</v>
      </c>
      <c r="K11" s="3" t="s">
        <v>50</v>
      </c>
      <c r="L11" s="3" t="s">
        <v>27</v>
      </c>
      <c r="M11" s="4">
        <v>45207</v>
      </c>
      <c r="N11" s="3">
        <v>179.97</v>
      </c>
      <c r="O11">
        <f t="shared" ca="1" si="0"/>
        <v>0</v>
      </c>
    </row>
    <row r="12" spans="1:15" ht="15" thickBot="1" x14ac:dyDescent="0.35">
      <c r="A12" s="3" t="s">
        <v>67</v>
      </c>
      <c r="B12" s="4">
        <v>45408</v>
      </c>
      <c r="C12" s="3" t="s">
        <v>68</v>
      </c>
      <c r="D12" s="3" t="s">
        <v>69</v>
      </c>
      <c r="E12" s="3" t="s">
        <v>44</v>
      </c>
      <c r="F12" s="3" t="s">
        <v>45</v>
      </c>
      <c r="G12" s="3" t="s">
        <v>46</v>
      </c>
      <c r="H12" s="3">
        <v>1</v>
      </c>
      <c r="I12" s="3">
        <v>149.99</v>
      </c>
      <c r="J12" s="3" t="s">
        <v>26</v>
      </c>
      <c r="K12" s="3" t="s">
        <v>50</v>
      </c>
      <c r="L12" s="3" t="s">
        <v>36</v>
      </c>
      <c r="M12" s="4">
        <v>45103</v>
      </c>
      <c r="N12" s="3">
        <v>149.99</v>
      </c>
      <c r="O12">
        <f t="shared" ca="1" si="0"/>
        <v>0</v>
      </c>
    </row>
    <row r="13" spans="1:15" ht="15" thickBot="1" x14ac:dyDescent="0.35">
      <c r="A13" s="3" t="s">
        <v>70</v>
      </c>
      <c r="B13" s="4">
        <v>45408</v>
      </c>
      <c r="C13" s="3" t="s">
        <v>38</v>
      </c>
      <c r="D13" s="3" t="s">
        <v>39</v>
      </c>
      <c r="E13" s="3" t="s">
        <v>44</v>
      </c>
      <c r="F13" s="3" t="s">
        <v>45</v>
      </c>
      <c r="G13" s="3" t="s">
        <v>46</v>
      </c>
      <c r="H13" s="3">
        <v>5</v>
      </c>
      <c r="I13" s="3">
        <v>149.99</v>
      </c>
      <c r="J13" s="3" t="s">
        <v>57</v>
      </c>
      <c r="K13" s="3" t="s">
        <v>40</v>
      </c>
      <c r="L13" s="3" t="s">
        <v>22</v>
      </c>
      <c r="M13" s="4">
        <v>44830</v>
      </c>
      <c r="N13" s="3">
        <v>749.95</v>
      </c>
      <c r="O13">
        <f t="shared" ca="1" si="0"/>
        <v>0</v>
      </c>
    </row>
    <row r="14" spans="1:15" ht="15" thickBot="1" x14ac:dyDescent="0.35">
      <c r="A14" s="3" t="s">
        <v>71</v>
      </c>
      <c r="B14" s="4">
        <v>45408</v>
      </c>
      <c r="C14" s="3" t="s">
        <v>72</v>
      </c>
      <c r="D14" s="3" t="s">
        <v>73</v>
      </c>
      <c r="E14" s="3" t="s">
        <v>44</v>
      </c>
      <c r="F14" s="3" t="s">
        <v>45</v>
      </c>
      <c r="G14" s="3" t="s">
        <v>46</v>
      </c>
      <c r="H14" s="3">
        <v>3</v>
      </c>
      <c r="I14" s="3">
        <v>149.99</v>
      </c>
      <c r="J14" s="3" t="s">
        <v>20</v>
      </c>
      <c r="K14" s="3" t="s">
        <v>40</v>
      </c>
      <c r="L14" s="3" t="s">
        <v>27</v>
      </c>
      <c r="M14" s="4">
        <v>44806</v>
      </c>
      <c r="N14" s="3">
        <v>449.97</v>
      </c>
      <c r="O14">
        <f t="shared" ca="1" si="0"/>
        <v>0</v>
      </c>
    </row>
    <row r="15" spans="1:15" ht="15" thickBot="1" x14ac:dyDescent="0.35">
      <c r="A15" s="3" t="s">
        <v>74</v>
      </c>
      <c r="B15" s="4">
        <v>45409</v>
      </c>
      <c r="C15" s="3" t="s">
        <v>75</v>
      </c>
      <c r="D15" s="3" t="s">
        <v>76</v>
      </c>
      <c r="E15" s="3" t="s">
        <v>31</v>
      </c>
      <c r="F15" s="3" t="s">
        <v>32</v>
      </c>
      <c r="G15" s="3" t="s">
        <v>33</v>
      </c>
      <c r="H15" s="3">
        <v>3</v>
      </c>
      <c r="I15" s="3">
        <v>59.99</v>
      </c>
      <c r="J15" s="3" t="s">
        <v>26</v>
      </c>
      <c r="K15" s="3" t="s">
        <v>40</v>
      </c>
      <c r="L15" s="3" t="s">
        <v>36</v>
      </c>
      <c r="M15" s="4">
        <v>45351</v>
      </c>
      <c r="N15" s="3">
        <v>179.97</v>
      </c>
      <c r="O15">
        <f t="shared" ca="1" si="0"/>
        <v>0</v>
      </c>
    </row>
    <row r="16" spans="1:15" ht="15" thickBot="1" x14ac:dyDescent="0.35">
      <c r="A16" s="3" t="s">
        <v>77</v>
      </c>
      <c r="B16" s="4">
        <v>45409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19</v>
      </c>
      <c r="H16" s="3">
        <v>3</v>
      </c>
      <c r="I16" s="3">
        <v>699.99</v>
      </c>
      <c r="J16" s="3" t="s">
        <v>26</v>
      </c>
      <c r="K16" s="3" t="s">
        <v>50</v>
      </c>
      <c r="L16" s="3" t="s">
        <v>22</v>
      </c>
      <c r="M16" s="4">
        <v>44577</v>
      </c>
      <c r="N16" s="3">
        <v>2099.9699999999998</v>
      </c>
      <c r="O16">
        <f t="shared" ca="1" si="0"/>
        <v>0</v>
      </c>
    </row>
    <row r="17" spans="1:15" ht="15" thickBot="1" x14ac:dyDescent="0.35">
      <c r="A17" s="3" t="s">
        <v>82</v>
      </c>
      <c r="B17" s="4">
        <v>45409</v>
      </c>
      <c r="C17" s="3" t="s">
        <v>83</v>
      </c>
      <c r="D17" s="3" t="s">
        <v>84</v>
      </c>
      <c r="E17" s="3" t="s">
        <v>61</v>
      </c>
      <c r="F17" s="3" t="s">
        <v>62</v>
      </c>
      <c r="G17" s="3" t="s">
        <v>19</v>
      </c>
      <c r="H17" s="3">
        <v>1</v>
      </c>
      <c r="I17" s="3">
        <v>899.99</v>
      </c>
      <c r="J17" s="3" t="s">
        <v>57</v>
      </c>
      <c r="K17" s="3" t="s">
        <v>40</v>
      </c>
      <c r="L17" s="3" t="s">
        <v>36</v>
      </c>
      <c r="M17" s="4">
        <v>44920</v>
      </c>
      <c r="N17" s="3">
        <v>899.99</v>
      </c>
      <c r="O17">
        <f t="shared" ca="1" si="0"/>
        <v>0</v>
      </c>
    </row>
    <row r="18" spans="1:15" ht="15" thickBot="1" x14ac:dyDescent="0.35">
      <c r="A18" s="3" t="s">
        <v>85</v>
      </c>
      <c r="B18" s="4">
        <v>45410</v>
      </c>
      <c r="C18" s="3" t="s">
        <v>86</v>
      </c>
      <c r="D18" s="3" t="s">
        <v>87</v>
      </c>
      <c r="E18" s="3" t="s">
        <v>44</v>
      </c>
      <c r="F18" s="3" t="s">
        <v>45</v>
      </c>
      <c r="G18" s="3" t="s">
        <v>46</v>
      </c>
      <c r="H18" s="3">
        <v>4</v>
      </c>
      <c r="I18" s="3">
        <v>149.99</v>
      </c>
      <c r="J18" s="3" t="s">
        <v>57</v>
      </c>
      <c r="K18" s="3" t="s">
        <v>40</v>
      </c>
      <c r="L18" s="3" t="s">
        <v>27</v>
      </c>
      <c r="M18" s="4">
        <v>45374</v>
      </c>
      <c r="N18" s="3">
        <v>599.96</v>
      </c>
      <c r="O18">
        <f t="shared" ca="1" si="0"/>
        <v>0</v>
      </c>
    </row>
    <row r="19" spans="1:15" ht="15" thickBot="1" x14ac:dyDescent="0.35">
      <c r="A19" s="3" t="s">
        <v>88</v>
      </c>
      <c r="B19" s="4">
        <v>45410</v>
      </c>
      <c r="C19" s="3" t="s">
        <v>89</v>
      </c>
      <c r="D19" s="3" t="s">
        <v>90</v>
      </c>
      <c r="E19" s="3" t="s">
        <v>80</v>
      </c>
      <c r="F19" s="3" t="s">
        <v>81</v>
      </c>
      <c r="G19" s="3" t="s">
        <v>19</v>
      </c>
      <c r="H19" s="3">
        <v>2</v>
      </c>
      <c r="I19" s="3">
        <v>699.99</v>
      </c>
      <c r="J19" s="3" t="s">
        <v>20</v>
      </c>
      <c r="K19" s="3" t="s">
        <v>40</v>
      </c>
      <c r="L19" s="3" t="s">
        <v>22</v>
      </c>
      <c r="M19" s="4">
        <v>44781</v>
      </c>
      <c r="N19" s="3">
        <v>1399.98</v>
      </c>
      <c r="O19">
        <f t="shared" ca="1" si="0"/>
        <v>0</v>
      </c>
    </row>
    <row r="20" spans="1:15" ht="15" thickBot="1" x14ac:dyDescent="0.35">
      <c r="A20" s="3" t="s">
        <v>91</v>
      </c>
      <c r="B20" s="4">
        <v>45410</v>
      </c>
      <c r="C20" s="3" t="s">
        <v>86</v>
      </c>
      <c r="D20" s="3" t="s">
        <v>87</v>
      </c>
      <c r="E20" s="3" t="s">
        <v>61</v>
      </c>
      <c r="F20" s="3" t="s">
        <v>62</v>
      </c>
      <c r="G20" s="3" t="s">
        <v>19</v>
      </c>
      <c r="H20" s="3">
        <v>4</v>
      </c>
      <c r="I20" s="3">
        <v>899.99</v>
      </c>
      <c r="J20" s="3" t="s">
        <v>26</v>
      </c>
      <c r="K20" s="3" t="s">
        <v>50</v>
      </c>
      <c r="L20" s="3" t="s">
        <v>36</v>
      </c>
      <c r="M20" s="4">
        <v>45327</v>
      </c>
      <c r="N20" s="3">
        <v>3599.96</v>
      </c>
      <c r="O20">
        <f t="shared" ca="1" si="0"/>
        <v>0</v>
      </c>
    </row>
    <row r="21" spans="1:15" ht="15" thickBot="1" x14ac:dyDescent="0.35">
      <c r="A21" s="3" t="s">
        <v>92</v>
      </c>
      <c r="B21" s="4">
        <v>45410</v>
      </c>
      <c r="C21" s="3" t="s">
        <v>93</v>
      </c>
      <c r="D21" s="3" t="s">
        <v>94</v>
      </c>
      <c r="E21" s="3" t="s">
        <v>17</v>
      </c>
      <c r="F21" s="3" t="s">
        <v>18</v>
      </c>
      <c r="G21" s="3" t="s">
        <v>19</v>
      </c>
      <c r="H21" s="3">
        <v>3</v>
      </c>
      <c r="I21" s="3">
        <v>249.99</v>
      </c>
      <c r="J21" s="3" t="s">
        <v>26</v>
      </c>
      <c r="K21" s="3" t="s">
        <v>40</v>
      </c>
      <c r="L21" s="3" t="s">
        <v>27</v>
      </c>
      <c r="M21" s="4">
        <v>45224</v>
      </c>
      <c r="N21" s="3">
        <v>749.97</v>
      </c>
      <c r="O21">
        <f t="shared" ca="1" si="0"/>
        <v>0</v>
      </c>
    </row>
    <row r="22" spans="1:15" ht="15" thickBot="1" x14ac:dyDescent="0.35">
      <c r="A22" s="3" t="s">
        <v>95</v>
      </c>
      <c r="B22" s="4">
        <v>45412</v>
      </c>
      <c r="C22" s="3" t="s">
        <v>96</v>
      </c>
      <c r="D22" s="3" t="s">
        <v>97</v>
      </c>
      <c r="E22" s="3" t="s">
        <v>80</v>
      </c>
      <c r="F22" s="3" t="s">
        <v>81</v>
      </c>
      <c r="G22" s="3" t="s">
        <v>19</v>
      </c>
      <c r="H22" s="3">
        <v>5</v>
      </c>
      <c r="I22" s="3">
        <v>699.99</v>
      </c>
      <c r="J22" s="3" t="s">
        <v>20</v>
      </c>
      <c r="K22" s="3" t="s">
        <v>50</v>
      </c>
      <c r="L22" s="3" t="s">
        <v>22</v>
      </c>
      <c r="M22" s="4">
        <v>45167</v>
      </c>
      <c r="N22" s="3">
        <v>3499.95</v>
      </c>
      <c r="O22">
        <f t="shared" ca="1" si="0"/>
        <v>0</v>
      </c>
    </row>
    <row r="23" spans="1:15" ht="15" thickBot="1" x14ac:dyDescent="0.35">
      <c r="A23" s="3" t="s">
        <v>98</v>
      </c>
      <c r="B23" s="4">
        <v>45413</v>
      </c>
      <c r="C23" s="3" t="s">
        <v>99</v>
      </c>
      <c r="D23" s="3" t="s">
        <v>100</v>
      </c>
      <c r="E23" s="3" t="s">
        <v>80</v>
      </c>
      <c r="F23" s="3" t="s">
        <v>81</v>
      </c>
      <c r="G23" s="3" t="s">
        <v>19</v>
      </c>
      <c r="H23" s="3">
        <v>4</v>
      </c>
      <c r="I23" s="3">
        <v>699.99</v>
      </c>
      <c r="J23" s="3" t="s">
        <v>20</v>
      </c>
      <c r="K23" s="3" t="s">
        <v>63</v>
      </c>
      <c r="L23" s="3" t="s">
        <v>36</v>
      </c>
      <c r="M23" s="4">
        <v>44409</v>
      </c>
      <c r="N23" s="3">
        <v>2799.96</v>
      </c>
      <c r="O23">
        <f t="shared" ca="1" si="0"/>
        <v>0</v>
      </c>
    </row>
    <row r="24" spans="1:15" ht="15" thickBot="1" x14ac:dyDescent="0.35">
      <c r="A24" s="3" t="s">
        <v>101</v>
      </c>
      <c r="B24" s="4">
        <v>45415</v>
      </c>
      <c r="C24" s="3" t="s">
        <v>102</v>
      </c>
      <c r="D24" s="3" t="s">
        <v>103</v>
      </c>
      <c r="E24" s="3" t="s">
        <v>17</v>
      </c>
      <c r="F24" s="3" t="s">
        <v>18</v>
      </c>
      <c r="G24" s="3" t="s">
        <v>19</v>
      </c>
      <c r="H24" s="3">
        <v>4</v>
      </c>
      <c r="I24" s="3">
        <v>249.99</v>
      </c>
      <c r="J24" s="3" t="s">
        <v>34</v>
      </c>
      <c r="K24" s="3" t="s">
        <v>40</v>
      </c>
      <c r="L24" s="3" t="s">
        <v>36</v>
      </c>
      <c r="M24" s="4">
        <v>44468</v>
      </c>
      <c r="N24" s="3">
        <v>999.96</v>
      </c>
      <c r="O24">
        <f t="shared" ca="1" si="0"/>
        <v>0</v>
      </c>
    </row>
    <row r="25" spans="1:15" ht="15" thickBot="1" x14ac:dyDescent="0.35">
      <c r="A25" s="3" t="s">
        <v>104</v>
      </c>
      <c r="B25" s="4">
        <v>45416</v>
      </c>
      <c r="C25" s="3" t="s">
        <v>86</v>
      </c>
      <c r="D25" s="3" t="s">
        <v>87</v>
      </c>
      <c r="E25" s="3" t="s">
        <v>105</v>
      </c>
      <c r="F25" s="3" t="s">
        <v>106</v>
      </c>
      <c r="G25" s="3" t="s">
        <v>46</v>
      </c>
      <c r="H25" s="3">
        <v>4</v>
      </c>
      <c r="I25" s="3">
        <v>299.99</v>
      </c>
      <c r="J25" s="3" t="s">
        <v>20</v>
      </c>
      <c r="K25" s="3" t="s">
        <v>50</v>
      </c>
      <c r="L25" s="3" t="s">
        <v>27</v>
      </c>
      <c r="M25" s="4">
        <v>44716</v>
      </c>
      <c r="N25" s="3">
        <v>1199.96</v>
      </c>
      <c r="O25">
        <f t="shared" ca="1" si="0"/>
        <v>0</v>
      </c>
    </row>
    <row r="26" spans="1:15" ht="15" thickBot="1" x14ac:dyDescent="0.35">
      <c r="A26" s="3" t="s">
        <v>107</v>
      </c>
      <c r="B26" s="4">
        <v>45422</v>
      </c>
      <c r="C26" s="3" t="s">
        <v>108</v>
      </c>
      <c r="D26" s="3" t="s">
        <v>109</v>
      </c>
      <c r="E26" s="3" t="s">
        <v>17</v>
      </c>
      <c r="F26" s="3" t="s">
        <v>18</v>
      </c>
      <c r="G26" s="3" t="s">
        <v>19</v>
      </c>
      <c r="H26" s="3">
        <v>5</v>
      </c>
      <c r="I26" s="3">
        <v>249.99</v>
      </c>
      <c r="J26" s="3" t="s">
        <v>26</v>
      </c>
      <c r="K26" s="3" t="s">
        <v>50</v>
      </c>
      <c r="L26" s="3" t="s">
        <v>36</v>
      </c>
      <c r="M26" s="4">
        <v>44525</v>
      </c>
      <c r="N26" s="3">
        <v>1249.95</v>
      </c>
      <c r="O26">
        <f t="shared" ca="1" si="0"/>
        <v>0</v>
      </c>
    </row>
    <row r="27" spans="1:15" ht="15" thickBot="1" x14ac:dyDescent="0.35">
      <c r="A27" s="3" t="s">
        <v>110</v>
      </c>
      <c r="B27" s="4">
        <v>45424</v>
      </c>
      <c r="C27" s="3" t="s">
        <v>68</v>
      </c>
      <c r="D27" s="3" t="s">
        <v>69</v>
      </c>
      <c r="E27" s="3" t="s">
        <v>105</v>
      </c>
      <c r="F27" s="3" t="s">
        <v>106</v>
      </c>
      <c r="G27" s="3" t="s">
        <v>46</v>
      </c>
      <c r="H27" s="3">
        <v>5</v>
      </c>
      <c r="I27" s="3">
        <v>299.99</v>
      </c>
      <c r="J27" s="3" t="s">
        <v>34</v>
      </c>
      <c r="K27" s="3" t="s">
        <v>63</v>
      </c>
      <c r="L27" s="3" t="s">
        <v>22</v>
      </c>
      <c r="M27" s="4">
        <v>45168</v>
      </c>
      <c r="N27" s="3">
        <v>1499.95</v>
      </c>
      <c r="O27">
        <f t="shared" ca="1" si="0"/>
        <v>0</v>
      </c>
    </row>
    <row r="28" spans="1:15" ht="15" thickBot="1" x14ac:dyDescent="0.35">
      <c r="A28" s="3" t="s">
        <v>111</v>
      </c>
      <c r="B28" s="4">
        <v>45424</v>
      </c>
      <c r="C28" s="3" t="s">
        <v>112</v>
      </c>
      <c r="D28" s="3" t="s">
        <v>113</v>
      </c>
      <c r="E28" s="3" t="s">
        <v>114</v>
      </c>
      <c r="F28" s="3" t="s">
        <v>115</v>
      </c>
      <c r="G28" s="3" t="s">
        <v>33</v>
      </c>
      <c r="H28" s="3">
        <v>3</v>
      </c>
      <c r="I28" s="3">
        <v>79.989999999999995</v>
      </c>
      <c r="J28" s="3" t="s">
        <v>34</v>
      </c>
      <c r="K28" s="3" t="s">
        <v>63</v>
      </c>
      <c r="L28" s="3" t="s">
        <v>27</v>
      </c>
      <c r="M28" s="4">
        <v>45012</v>
      </c>
      <c r="N28" s="3">
        <v>239.97</v>
      </c>
      <c r="O28">
        <f t="shared" ca="1" si="0"/>
        <v>0</v>
      </c>
    </row>
    <row r="29" spans="1:15" ht="15" thickBot="1" x14ac:dyDescent="0.35">
      <c r="A29" s="3" t="s">
        <v>116</v>
      </c>
      <c r="B29" s="4">
        <v>45424</v>
      </c>
      <c r="C29" s="3" t="s">
        <v>99</v>
      </c>
      <c r="D29" s="3" t="s">
        <v>100</v>
      </c>
      <c r="E29" s="3" t="s">
        <v>117</v>
      </c>
      <c r="F29" s="3" t="s">
        <v>118</v>
      </c>
      <c r="G29" s="3" t="s">
        <v>19</v>
      </c>
      <c r="H29" s="3">
        <v>5</v>
      </c>
      <c r="I29" s="3">
        <v>89.99</v>
      </c>
      <c r="J29" s="3" t="s">
        <v>20</v>
      </c>
      <c r="K29" s="3" t="s">
        <v>40</v>
      </c>
      <c r="L29" s="3" t="s">
        <v>27</v>
      </c>
      <c r="M29" s="4">
        <v>44919</v>
      </c>
      <c r="N29" s="3">
        <v>449.95</v>
      </c>
      <c r="O29">
        <f t="shared" ca="1" si="0"/>
        <v>0</v>
      </c>
    </row>
    <row r="30" spans="1:15" ht="15" thickBot="1" x14ac:dyDescent="0.35">
      <c r="A30" s="3" t="s">
        <v>119</v>
      </c>
      <c r="B30" s="4">
        <v>45425</v>
      </c>
      <c r="C30" s="3" t="s">
        <v>120</v>
      </c>
      <c r="D30" s="3" t="s">
        <v>121</v>
      </c>
      <c r="E30" s="3" t="s">
        <v>31</v>
      </c>
      <c r="F30" s="3" t="s">
        <v>32</v>
      </c>
      <c r="G30" s="3" t="s">
        <v>33</v>
      </c>
      <c r="H30" s="3">
        <v>2</v>
      </c>
      <c r="I30" s="3">
        <v>59.99</v>
      </c>
      <c r="J30" s="3" t="s">
        <v>57</v>
      </c>
      <c r="K30" s="3" t="s">
        <v>21</v>
      </c>
      <c r="L30" s="3" t="s">
        <v>36</v>
      </c>
      <c r="M30" s="4">
        <v>45214</v>
      </c>
      <c r="N30" s="3">
        <v>119.98</v>
      </c>
      <c r="O30">
        <f t="shared" ca="1" si="0"/>
        <v>0</v>
      </c>
    </row>
    <row r="31" spans="1:15" ht="15" thickBot="1" x14ac:dyDescent="0.35">
      <c r="A31" s="3" t="s">
        <v>122</v>
      </c>
      <c r="B31" s="4">
        <v>45427</v>
      </c>
      <c r="C31" s="3" t="s">
        <v>123</v>
      </c>
      <c r="D31" s="3" t="s">
        <v>124</v>
      </c>
      <c r="E31" s="3" t="s">
        <v>31</v>
      </c>
      <c r="F31" s="3" t="s">
        <v>32</v>
      </c>
      <c r="G31" s="3" t="s">
        <v>33</v>
      </c>
      <c r="H31" s="3">
        <v>4</v>
      </c>
      <c r="I31" s="3">
        <v>59.99</v>
      </c>
      <c r="J31" s="3" t="s">
        <v>57</v>
      </c>
      <c r="K31" s="3" t="s">
        <v>63</v>
      </c>
      <c r="L31" s="3" t="s">
        <v>36</v>
      </c>
      <c r="M31" s="4">
        <v>44867</v>
      </c>
      <c r="N31" s="3">
        <v>239.96</v>
      </c>
      <c r="O31">
        <f t="shared" ca="1" si="0"/>
        <v>0</v>
      </c>
    </row>
    <row r="32" spans="1:15" ht="15" thickBot="1" x14ac:dyDescent="0.35">
      <c r="A32" s="3" t="s">
        <v>125</v>
      </c>
      <c r="B32" s="4">
        <v>45427</v>
      </c>
      <c r="C32" s="3" t="s">
        <v>55</v>
      </c>
      <c r="D32" s="3" t="s">
        <v>56</v>
      </c>
      <c r="E32" s="3" t="s">
        <v>126</v>
      </c>
      <c r="F32" s="3" t="s">
        <v>127</v>
      </c>
      <c r="G32" s="3" t="s">
        <v>46</v>
      </c>
      <c r="H32" s="3">
        <v>5</v>
      </c>
      <c r="I32" s="3">
        <v>199.99</v>
      </c>
      <c r="J32" s="3" t="s">
        <v>20</v>
      </c>
      <c r="K32" s="3" t="s">
        <v>35</v>
      </c>
      <c r="L32" s="3" t="s">
        <v>36</v>
      </c>
      <c r="M32" s="4">
        <v>44412</v>
      </c>
      <c r="N32" s="3">
        <v>999.95</v>
      </c>
      <c r="O32">
        <f t="shared" ca="1" si="0"/>
        <v>0</v>
      </c>
    </row>
    <row r="33" spans="1:15" ht="15" thickBot="1" x14ac:dyDescent="0.35">
      <c r="A33" s="3" t="s">
        <v>128</v>
      </c>
      <c r="B33" s="4">
        <v>45428</v>
      </c>
      <c r="C33" s="3" t="s">
        <v>129</v>
      </c>
      <c r="D33" s="3" t="s">
        <v>130</v>
      </c>
      <c r="E33" s="3" t="s">
        <v>44</v>
      </c>
      <c r="F33" s="3" t="s">
        <v>45</v>
      </c>
      <c r="G33" s="3" t="s">
        <v>46</v>
      </c>
      <c r="H33" s="3">
        <v>2</v>
      </c>
      <c r="I33" s="3">
        <v>149.99</v>
      </c>
      <c r="J33" s="3" t="s">
        <v>26</v>
      </c>
      <c r="K33" s="3" t="s">
        <v>50</v>
      </c>
      <c r="L33" s="3" t="s">
        <v>22</v>
      </c>
      <c r="M33" s="4">
        <v>44823</v>
      </c>
      <c r="N33" s="3">
        <v>299.98</v>
      </c>
      <c r="O33">
        <f t="shared" ca="1" si="0"/>
        <v>0</v>
      </c>
    </row>
    <row r="34" spans="1:15" ht="15" thickBot="1" x14ac:dyDescent="0.35">
      <c r="A34" s="3" t="s">
        <v>131</v>
      </c>
      <c r="B34" s="4">
        <v>45430</v>
      </c>
      <c r="C34" s="3" t="s">
        <v>132</v>
      </c>
      <c r="D34" s="3" t="s">
        <v>133</v>
      </c>
      <c r="E34" s="3" t="s">
        <v>44</v>
      </c>
      <c r="F34" s="3" t="s">
        <v>45</v>
      </c>
      <c r="G34" s="3" t="s">
        <v>46</v>
      </c>
      <c r="H34" s="3">
        <v>3</v>
      </c>
      <c r="I34" s="3">
        <v>149.99</v>
      </c>
      <c r="J34" s="3" t="s">
        <v>26</v>
      </c>
      <c r="K34" s="3" t="s">
        <v>50</v>
      </c>
      <c r="L34" s="3" t="s">
        <v>27</v>
      </c>
      <c r="M34" s="4">
        <v>45068</v>
      </c>
      <c r="N34" s="3">
        <v>449.97</v>
      </c>
      <c r="O34">
        <f t="shared" ca="1" si="0"/>
        <v>0</v>
      </c>
    </row>
    <row r="35" spans="1:15" ht="15" thickBot="1" x14ac:dyDescent="0.35">
      <c r="A35" s="3" t="s">
        <v>134</v>
      </c>
      <c r="B35" s="4">
        <v>45432</v>
      </c>
      <c r="C35" s="3" t="s">
        <v>29</v>
      </c>
      <c r="D35" s="3" t="s">
        <v>30</v>
      </c>
      <c r="E35" s="3" t="s">
        <v>61</v>
      </c>
      <c r="F35" s="3" t="s">
        <v>62</v>
      </c>
      <c r="G35" s="3" t="s">
        <v>19</v>
      </c>
      <c r="H35" s="3">
        <v>1</v>
      </c>
      <c r="I35" s="3">
        <v>899.99</v>
      </c>
      <c r="J35" s="3" t="s">
        <v>26</v>
      </c>
      <c r="K35" s="3" t="s">
        <v>50</v>
      </c>
      <c r="L35" s="3" t="s">
        <v>27</v>
      </c>
      <c r="M35" s="4">
        <v>44578</v>
      </c>
      <c r="N35" s="3">
        <v>899.99</v>
      </c>
      <c r="O35">
        <f t="shared" ca="1" si="0"/>
        <v>0</v>
      </c>
    </row>
    <row r="36" spans="1:15" ht="15" thickBot="1" x14ac:dyDescent="0.35">
      <c r="A36" s="3" t="s">
        <v>135</v>
      </c>
      <c r="B36" s="4">
        <v>45434</v>
      </c>
      <c r="C36" s="3" t="s">
        <v>99</v>
      </c>
      <c r="D36" s="3" t="s">
        <v>100</v>
      </c>
      <c r="E36" s="3" t="s">
        <v>105</v>
      </c>
      <c r="F36" s="3" t="s">
        <v>106</v>
      </c>
      <c r="G36" s="3" t="s">
        <v>46</v>
      </c>
      <c r="H36" s="3">
        <v>3</v>
      </c>
      <c r="I36" s="3">
        <v>299.99</v>
      </c>
      <c r="J36" s="3" t="s">
        <v>26</v>
      </c>
      <c r="K36" s="3" t="s">
        <v>63</v>
      </c>
      <c r="L36" s="3" t="s">
        <v>22</v>
      </c>
      <c r="M36" s="4">
        <v>44824</v>
      </c>
      <c r="N36" s="3">
        <v>899.97</v>
      </c>
      <c r="O36">
        <f t="shared" ca="1" si="0"/>
        <v>0</v>
      </c>
    </row>
    <row r="37" spans="1:15" ht="15" thickBot="1" x14ac:dyDescent="0.35">
      <c r="A37" s="3" t="s">
        <v>136</v>
      </c>
      <c r="B37" s="4">
        <v>45435</v>
      </c>
      <c r="C37" s="3" t="s">
        <v>129</v>
      </c>
      <c r="D37" s="3" t="s">
        <v>130</v>
      </c>
      <c r="E37" s="3" t="s">
        <v>114</v>
      </c>
      <c r="F37" s="3" t="s">
        <v>115</v>
      </c>
      <c r="G37" s="3" t="s">
        <v>33</v>
      </c>
      <c r="H37" s="3">
        <v>3</v>
      </c>
      <c r="I37" s="3">
        <v>79.989999999999995</v>
      </c>
      <c r="J37" s="3" t="s">
        <v>20</v>
      </c>
      <c r="K37" s="3" t="s">
        <v>35</v>
      </c>
      <c r="L37" s="3" t="s">
        <v>22</v>
      </c>
      <c r="M37" s="4">
        <v>45046</v>
      </c>
      <c r="N37" s="3">
        <v>239.97</v>
      </c>
      <c r="O37">
        <f t="shared" ca="1" si="0"/>
        <v>0</v>
      </c>
    </row>
    <row r="38" spans="1:15" ht="15" thickBot="1" x14ac:dyDescent="0.35">
      <c r="A38" s="3" t="s">
        <v>137</v>
      </c>
      <c r="B38" s="4">
        <v>45438</v>
      </c>
      <c r="C38" s="3" t="s">
        <v>138</v>
      </c>
      <c r="D38" s="3" t="s">
        <v>139</v>
      </c>
      <c r="E38" s="3" t="s">
        <v>126</v>
      </c>
      <c r="F38" s="3" t="s">
        <v>127</v>
      </c>
      <c r="G38" s="3" t="s">
        <v>46</v>
      </c>
      <c r="H38" s="3">
        <v>3</v>
      </c>
      <c r="I38" s="3">
        <v>199.99</v>
      </c>
      <c r="J38" s="3" t="s">
        <v>26</v>
      </c>
      <c r="K38" s="3" t="s">
        <v>40</v>
      </c>
      <c r="L38" s="3" t="s">
        <v>27</v>
      </c>
      <c r="M38" s="4">
        <v>45292</v>
      </c>
      <c r="N38" s="3">
        <v>599.97</v>
      </c>
      <c r="O38">
        <f t="shared" ca="1" si="0"/>
        <v>0</v>
      </c>
    </row>
    <row r="39" spans="1:15" ht="15" thickBot="1" x14ac:dyDescent="0.35">
      <c r="A39" s="3" t="s">
        <v>140</v>
      </c>
      <c r="B39" s="4">
        <v>45440</v>
      </c>
      <c r="C39" s="3" t="s">
        <v>141</v>
      </c>
      <c r="D39" s="3" t="s">
        <v>142</v>
      </c>
      <c r="E39" s="3" t="s">
        <v>80</v>
      </c>
      <c r="F39" s="3" t="s">
        <v>81</v>
      </c>
      <c r="G39" s="3" t="s">
        <v>19</v>
      </c>
      <c r="H39" s="3">
        <v>5</v>
      </c>
      <c r="I39" s="3">
        <v>699.99</v>
      </c>
      <c r="J39" s="3" t="s">
        <v>34</v>
      </c>
      <c r="K39" s="3" t="s">
        <v>50</v>
      </c>
      <c r="L39" s="3" t="s">
        <v>36</v>
      </c>
      <c r="M39" s="4">
        <v>44407</v>
      </c>
      <c r="N39" s="3">
        <v>3499.95</v>
      </c>
      <c r="O39">
        <f t="shared" ca="1" si="0"/>
        <v>0</v>
      </c>
    </row>
    <row r="40" spans="1:15" ht="15" thickBot="1" x14ac:dyDescent="0.35">
      <c r="A40" s="3" t="s">
        <v>143</v>
      </c>
      <c r="B40" s="4">
        <v>45441</v>
      </c>
      <c r="C40" s="3" t="s">
        <v>144</v>
      </c>
      <c r="D40" s="3" t="s">
        <v>145</v>
      </c>
      <c r="E40" s="3" t="s">
        <v>117</v>
      </c>
      <c r="F40" s="3" t="s">
        <v>118</v>
      </c>
      <c r="G40" s="3" t="s">
        <v>19</v>
      </c>
      <c r="H40" s="3">
        <v>3</v>
      </c>
      <c r="I40" s="3">
        <v>89.99</v>
      </c>
      <c r="J40" s="3" t="s">
        <v>34</v>
      </c>
      <c r="K40" s="3" t="s">
        <v>21</v>
      </c>
      <c r="L40" s="3" t="s">
        <v>27</v>
      </c>
      <c r="M40" s="4">
        <v>45120</v>
      </c>
      <c r="N40" s="3">
        <v>269.97000000000003</v>
      </c>
      <c r="O40">
        <f t="shared" ca="1" si="0"/>
        <v>0</v>
      </c>
    </row>
    <row r="41" spans="1:15" ht="15" thickBot="1" x14ac:dyDescent="0.35">
      <c r="A41" s="3" t="s">
        <v>146</v>
      </c>
      <c r="B41" s="4">
        <v>45443</v>
      </c>
      <c r="C41" s="3" t="s">
        <v>147</v>
      </c>
      <c r="D41" s="3" t="s">
        <v>148</v>
      </c>
      <c r="E41" s="3" t="s">
        <v>114</v>
      </c>
      <c r="F41" s="3" t="s">
        <v>115</v>
      </c>
      <c r="G41" s="3" t="s">
        <v>33</v>
      </c>
      <c r="H41" s="3">
        <v>1</v>
      </c>
      <c r="I41" s="3">
        <v>79.989999999999995</v>
      </c>
      <c r="J41" s="3" t="s">
        <v>20</v>
      </c>
      <c r="K41" s="3" t="s">
        <v>40</v>
      </c>
      <c r="L41" s="3" t="s">
        <v>36</v>
      </c>
      <c r="M41" s="4">
        <v>44917</v>
      </c>
      <c r="N41" s="3">
        <v>79.989999999999995</v>
      </c>
      <c r="O41">
        <f t="shared" ca="1" si="0"/>
        <v>0</v>
      </c>
    </row>
    <row r="42" spans="1:15" ht="15" thickBot="1" x14ac:dyDescent="0.35">
      <c r="A42" s="3" t="s">
        <v>149</v>
      </c>
      <c r="B42" s="4">
        <v>45444</v>
      </c>
      <c r="C42" s="3" t="s">
        <v>150</v>
      </c>
      <c r="D42" s="3" t="s">
        <v>151</v>
      </c>
      <c r="E42" s="3" t="s">
        <v>31</v>
      </c>
      <c r="F42" s="3" t="s">
        <v>32</v>
      </c>
      <c r="G42" s="3" t="s">
        <v>33</v>
      </c>
      <c r="H42" s="3">
        <v>2</v>
      </c>
      <c r="I42" s="3">
        <v>59.99</v>
      </c>
      <c r="J42" s="3" t="s">
        <v>20</v>
      </c>
      <c r="K42" s="3" t="s">
        <v>50</v>
      </c>
      <c r="L42" s="3" t="s">
        <v>22</v>
      </c>
      <c r="M42" s="4">
        <v>45390</v>
      </c>
      <c r="N42" s="3">
        <v>119.98</v>
      </c>
      <c r="O42">
        <f t="shared" ca="1" si="0"/>
        <v>0</v>
      </c>
    </row>
    <row r="43" spans="1:15" ht="15" thickBot="1" x14ac:dyDescent="0.35">
      <c r="A43" s="3" t="s">
        <v>152</v>
      </c>
      <c r="B43" s="4">
        <v>45444</v>
      </c>
      <c r="C43" s="3" t="s">
        <v>55</v>
      </c>
      <c r="D43" s="3" t="s">
        <v>56</v>
      </c>
      <c r="E43" s="3" t="s">
        <v>117</v>
      </c>
      <c r="F43" s="3" t="s">
        <v>118</v>
      </c>
      <c r="G43" s="3" t="s">
        <v>19</v>
      </c>
      <c r="H43" s="3">
        <v>1</v>
      </c>
      <c r="I43" s="3">
        <v>89.99</v>
      </c>
      <c r="J43" s="3" t="s">
        <v>20</v>
      </c>
      <c r="K43" s="3" t="s">
        <v>40</v>
      </c>
      <c r="L43" s="3" t="s">
        <v>22</v>
      </c>
      <c r="M43" s="4">
        <v>45141</v>
      </c>
      <c r="N43" s="3">
        <v>89.99</v>
      </c>
      <c r="O43">
        <f t="shared" ca="1" si="0"/>
        <v>0</v>
      </c>
    </row>
    <row r="44" spans="1:15" ht="15" thickBot="1" x14ac:dyDescent="0.35">
      <c r="A44" s="3" t="s">
        <v>153</v>
      </c>
      <c r="B44" s="4">
        <v>45446</v>
      </c>
      <c r="C44" s="3" t="s">
        <v>154</v>
      </c>
      <c r="D44" s="3" t="s">
        <v>155</v>
      </c>
      <c r="E44" s="3" t="s">
        <v>117</v>
      </c>
      <c r="F44" s="3" t="s">
        <v>118</v>
      </c>
      <c r="G44" s="3" t="s">
        <v>19</v>
      </c>
      <c r="H44" s="3">
        <v>5</v>
      </c>
      <c r="I44" s="3">
        <v>89.99</v>
      </c>
      <c r="J44" s="3" t="s">
        <v>26</v>
      </c>
      <c r="K44" s="3" t="s">
        <v>63</v>
      </c>
      <c r="L44" s="3" t="s">
        <v>36</v>
      </c>
      <c r="M44" s="4">
        <v>44587</v>
      </c>
      <c r="N44" s="3">
        <v>449.95</v>
      </c>
      <c r="O44">
        <f t="shared" ca="1" si="0"/>
        <v>0</v>
      </c>
    </row>
    <row r="45" spans="1:15" ht="15" thickBot="1" x14ac:dyDescent="0.35">
      <c r="A45" s="3" t="s">
        <v>156</v>
      </c>
      <c r="B45" s="4">
        <v>45449</v>
      </c>
      <c r="C45" s="3" t="s">
        <v>24</v>
      </c>
      <c r="D45" s="3" t="s">
        <v>25</v>
      </c>
      <c r="E45" s="3" t="s">
        <v>17</v>
      </c>
      <c r="F45" s="3" t="s">
        <v>18</v>
      </c>
      <c r="G45" s="3" t="s">
        <v>19</v>
      </c>
      <c r="H45" s="3">
        <v>5</v>
      </c>
      <c r="I45" s="3">
        <v>249.99</v>
      </c>
      <c r="J45" s="3" t="s">
        <v>26</v>
      </c>
      <c r="K45" s="3" t="s">
        <v>63</v>
      </c>
      <c r="L45" s="3" t="s">
        <v>36</v>
      </c>
      <c r="M45" s="4">
        <v>44707</v>
      </c>
      <c r="N45" s="3">
        <v>1249.95</v>
      </c>
      <c r="O45">
        <f t="shared" ca="1" si="0"/>
        <v>0</v>
      </c>
    </row>
    <row r="46" spans="1:15" ht="15" thickBot="1" x14ac:dyDescent="0.35">
      <c r="A46" s="3" t="s">
        <v>157</v>
      </c>
      <c r="B46" s="4">
        <v>45449</v>
      </c>
      <c r="C46" s="3" t="s">
        <v>158</v>
      </c>
      <c r="D46" s="3" t="s">
        <v>159</v>
      </c>
      <c r="E46" s="3" t="s">
        <v>117</v>
      </c>
      <c r="F46" s="3" t="s">
        <v>118</v>
      </c>
      <c r="G46" s="3" t="s">
        <v>19</v>
      </c>
      <c r="H46" s="3">
        <v>1</v>
      </c>
      <c r="I46" s="3">
        <v>89.99</v>
      </c>
      <c r="J46" s="3" t="s">
        <v>26</v>
      </c>
      <c r="K46" s="3" t="s">
        <v>35</v>
      </c>
      <c r="L46" s="3" t="s">
        <v>36</v>
      </c>
      <c r="M46" s="4">
        <v>44582</v>
      </c>
      <c r="N46" s="3">
        <v>89.99</v>
      </c>
      <c r="O46">
        <f t="shared" ca="1" si="0"/>
        <v>0</v>
      </c>
    </row>
    <row r="47" spans="1:15" ht="15" thickBot="1" x14ac:dyDescent="0.35">
      <c r="A47" s="3" t="s">
        <v>160</v>
      </c>
      <c r="B47" s="4">
        <v>45450</v>
      </c>
      <c r="C47" s="3" t="s">
        <v>42</v>
      </c>
      <c r="D47" s="3" t="s">
        <v>43</v>
      </c>
      <c r="E47" s="3" t="s">
        <v>44</v>
      </c>
      <c r="F47" s="3" t="s">
        <v>45</v>
      </c>
      <c r="G47" s="3" t="s">
        <v>46</v>
      </c>
      <c r="H47" s="3">
        <v>2</v>
      </c>
      <c r="I47" s="3">
        <v>149.99</v>
      </c>
      <c r="J47" s="3" t="s">
        <v>20</v>
      </c>
      <c r="K47" s="3" t="s">
        <v>63</v>
      </c>
      <c r="L47" s="3" t="s">
        <v>27</v>
      </c>
      <c r="M47" s="4">
        <v>44645</v>
      </c>
      <c r="N47" s="3">
        <v>299.98</v>
      </c>
      <c r="O47">
        <f t="shared" ca="1" si="0"/>
        <v>0</v>
      </c>
    </row>
    <row r="48" spans="1:15" ht="15" thickBot="1" x14ac:dyDescent="0.35">
      <c r="A48" s="3" t="s">
        <v>161</v>
      </c>
      <c r="B48" s="4">
        <v>45452</v>
      </c>
      <c r="C48" s="3" t="s">
        <v>162</v>
      </c>
      <c r="D48" s="3" t="s">
        <v>163</v>
      </c>
      <c r="E48" s="3" t="s">
        <v>31</v>
      </c>
      <c r="F48" s="3" t="s">
        <v>32</v>
      </c>
      <c r="G48" s="3" t="s">
        <v>33</v>
      </c>
      <c r="H48" s="3">
        <v>4</v>
      </c>
      <c r="I48" s="3">
        <v>59.99</v>
      </c>
      <c r="J48" s="3" t="s">
        <v>20</v>
      </c>
      <c r="K48" s="3" t="s">
        <v>63</v>
      </c>
      <c r="L48" s="3" t="s">
        <v>36</v>
      </c>
      <c r="M48" s="4">
        <v>44435</v>
      </c>
      <c r="N48" s="3">
        <v>239.96</v>
      </c>
      <c r="O48">
        <f t="shared" ca="1" si="0"/>
        <v>0</v>
      </c>
    </row>
    <row r="49" spans="1:15" ht="15" thickBot="1" x14ac:dyDescent="0.35">
      <c r="A49" s="3" t="s">
        <v>164</v>
      </c>
      <c r="B49" s="4">
        <v>45456</v>
      </c>
      <c r="C49" s="3" t="s">
        <v>129</v>
      </c>
      <c r="D49" s="3" t="s">
        <v>130</v>
      </c>
      <c r="E49" s="3" t="s">
        <v>117</v>
      </c>
      <c r="F49" s="3" t="s">
        <v>118</v>
      </c>
      <c r="G49" s="3" t="s">
        <v>19</v>
      </c>
      <c r="H49" s="3">
        <v>5</v>
      </c>
      <c r="I49" s="3">
        <v>89.99</v>
      </c>
      <c r="J49" s="3" t="s">
        <v>20</v>
      </c>
      <c r="K49" s="3" t="s">
        <v>21</v>
      </c>
      <c r="L49" s="3" t="s">
        <v>27</v>
      </c>
      <c r="M49" s="4">
        <v>44579</v>
      </c>
      <c r="N49" s="3">
        <v>449.95</v>
      </c>
      <c r="O49">
        <f t="shared" ca="1" si="0"/>
        <v>0</v>
      </c>
    </row>
    <row r="50" spans="1:15" ht="15" thickBot="1" x14ac:dyDescent="0.35">
      <c r="A50" s="3" t="s">
        <v>165</v>
      </c>
      <c r="B50" s="4">
        <v>45459</v>
      </c>
      <c r="C50" s="3" t="s">
        <v>99</v>
      </c>
      <c r="D50" s="3" t="s">
        <v>100</v>
      </c>
      <c r="E50" s="3" t="s">
        <v>117</v>
      </c>
      <c r="F50" s="3" t="s">
        <v>118</v>
      </c>
      <c r="G50" s="3" t="s">
        <v>19</v>
      </c>
      <c r="H50" s="3">
        <v>2</v>
      </c>
      <c r="I50" s="3">
        <v>89.99</v>
      </c>
      <c r="J50" s="3" t="s">
        <v>26</v>
      </c>
      <c r="K50" s="3" t="s">
        <v>35</v>
      </c>
      <c r="L50" s="3" t="s">
        <v>27</v>
      </c>
      <c r="M50" s="4">
        <v>44471</v>
      </c>
      <c r="N50" s="3">
        <v>179.98</v>
      </c>
      <c r="O50">
        <f t="shared" ca="1" si="0"/>
        <v>0</v>
      </c>
    </row>
    <row r="51" spans="1:15" ht="15" thickBot="1" x14ac:dyDescent="0.35">
      <c r="A51" s="3" t="s">
        <v>166</v>
      </c>
      <c r="B51" s="4">
        <v>45459</v>
      </c>
      <c r="C51" s="3" t="s">
        <v>15</v>
      </c>
      <c r="D51" s="3" t="s">
        <v>16</v>
      </c>
      <c r="E51" s="3" t="s">
        <v>61</v>
      </c>
      <c r="F51" s="3" t="s">
        <v>62</v>
      </c>
      <c r="G51" s="3" t="s">
        <v>19</v>
      </c>
      <c r="H51" s="3">
        <v>5</v>
      </c>
      <c r="I51" s="3">
        <v>899.99</v>
      </c>
      <c r="J51" s="3" t="s">
        <v>26</v>
      </c>
      <c r="K51" s="3" t="s">
        <v>35</v>
      </c>
      <c r="L51" s="3" t="s">
        <v>36</v>
      </c>
      <c r="M51" s="4">
        <v>44974</v>
      </c>
      <c r="N51" s="3">
        <v>4499.95</v>
      </c>
      <c r="O51">
        <f t="shared" ca="1" si="0"/>
        <v>0</v>
      </c>
    </row>
    <row r="52" spans="1:15" ht="15" thickBot="1" x14ac:dyDescent="0.35">
      <c r="A52" s="3" t="s">
        <v>167</v>
      </c>
      <c r="B52" s="4">
        <v>45459</v>
      </c>
      <c r="C52" s="3" t="s">
        <v>123</v>
      </c>
      <c r="D52" s="3" t="s">
        <v>124</v>
      </c>
      <c r="E52" s="3" t="s">
        <v>61</v>
      </c>
      <c r="F52" s="3" t="s">
        <v>62</v>
      </c>
      <c r="G52" s="3" t="s">
        <v>19</v>
      </c>
      <c r="H52" s="3">
        <v>5</v>
      </c>
      <c r="I52" s="3">
        <v>899.99</v>
      </c>
      <c r="J52" s="3" t="s">
        <v>34</v>
      </c>
      <c r="K52" s="3" t="s">
        <v>63</v>
      </c>
      <c r="L52" s="3" t="s">
        <v>27</v>
      </c>
      <c r="M52" s="4">
        <v>45278</v>
      </c>
      <c r="N52" s="3">
        <v>4499.95</v>
      </c>
      <c r="O52">
        <f t="shared" ca="1" si="0"/>
        <v>0</v>
      </c>
    </row>
    <row r="53" spans="1:15" ht="15" thickBot="1" x14ac:dyDescent="0.35">
      <c r="A53" s="3" t="s">
        <v>168</v>
      </c>
      <c r="B53" s="4">
        <v>45460</v>
      </c>
      <c r="C53" s="3" t="s">
        <v>158</v>
      </c>
      <c r="D53" s="3" t="s">
        <v>159</v>
      </c>
      <c r="E53" s="3" t="s">
        <v>31</v>
      </c>
      <c r="F53" s="3" t="s">
        <v>32</v>
      </c>
      <c r="G53" s="3" t="s">
        <v>33</v>
      </c>
      <c r="H53" s="3">
        <v>1</v>
      </c>
      <c r="I53" s="3">
        <v>59.99</v>
      </c>
      <c r="J53" s="3" t="s">
        <v>57</v>
      </c>
      <c r="K53" s="3" t="s">
        <v>50</v>
      </c>
      <c r="L53" s="3" t="s">
        <v>27</v>
      </c>
      <c r="M53" s="4">
        <v>45190</v>
      </c>
      <c r="N53" s="3">
        <v>59.99</v>
      </c>
      <c r="O53">
        <f t="shared" ca="1" si="0"/>
        <v>0</v>
      </c>
    </row>
    <row r="54" spans="1:15" ht="15" thickBot="1" x14ac:dyDescent="0.35">
      <c r="A54" s="3" t="s">
        <v>169</v>
      </c>
      <c r="B54" s="4">
        <v>45460</v>
      </c>
      <c r="C54" s="3" t="s">
        <v>141</v>
      </c>
      <c r="D54" s="3" t="s">
        <v>142</v>
      </c>
      <c r="E54" s="3" t="s">
        <v>105</v>
      </c>
      <c r="F54" s="3" t="s">
        <v>106</v>
      </c>
      <c r="G54" s="3" t="s">
        <v>46</v>
      </c>
      <c r="H54" s="3">
        <v>2</v>
      </c>
      <c r="I54" s="3">
        <v>299.99</v>
      </c>
      <c r="J54" s="3" t="s">
        <v>57</v>
      </c>
      <c r="K54" s="3" t="s">
        <v>63</v>
      </c>
      <c r="L54" s="3" t="s">
        <v>36</v>
      </c>
      <c r="M54" s="4">
        <v>45253</v>
      </c>
      <c r="N54" s="3">
        <v>599.98</v>
      </c>
      <c r="O54">
        <f t="shared" ca="1" si="0"/>
        <v>0</v>
      </c>
    </row>
    <row r="55" spans="1:15" ht="15" thickBot="1" x14ac:dyDescent="0.35">
      <c r="A55" s="3" t="s">
        <v>170</v>
      </c>
      <c r="B55" s="4">
        <v>45468</v>
      </c>
      <c r="C55" s="3" t="s">
        <v>171</v>
      </c>
      <c r="D55" s="3" t="s">
        <v>172</v>
      </c>
      <c r="E55" s="3" t="s">
        <v>117</v>
      </c>
      <c r="F55" s="3" t="s">
        <v>118</v>
      </c>
      <c r="G55" s="3" t="s">
        <v>19</v>
      </c>
      <c r="H55" s="3">
        <v>4</v>
      </c>
      <c r="I55" s="3">
        <v>89.99</v>
      </c>
      <c r="J55" s="3" t="s">
        <v>57</v>
      </c>
      <c r="K55" s="3" t="s">
        <v>35</v>
      </c>
      <c r="L55" s="3" t="s">
        <v>22</v>
      </c>
      <c r="M55" s="4">
        <v>45281</v>
      </c>
      <c r="N55" s="3">
        <v>359.96</v>
      </c>
      <c r="O55">
        <f t="shared" ca="1" si="0"/>
        <v>0</v>
      </c>
    </row>
    <row r="56" spans="1:15" ht="15" thickBot="1" x14ac:dyDescent="0.35">
      <c r="A56" s="3" t="s">
        <v>173</v>
      </c>
      <c r="B56" s="4">
        <v>45469</v>
      </c>
      <c r="C56" s="3" t="s">
        <v>29</v>
      </c>
      <c r="D56" s="3" t="s">
        <v>30</v>
      </c>
      <c r="E56" s="3" t="s">
        <v>114</v>
      </c>
      <c r="F56" s="3" t="s">
        <v>115</v>
      </c>
      <c r="G56" s="3" t="s">
        <v>33</v>
      </c>
      <c r="H56" s="3">
        <v>1</v>
      </c>
      <c r="I56" s="3">
        <v>79.989999999999995</v>
      </c>
      <c r="J56" s="3" t="s">
        <v>34</v>
      </c>
      <c r="K56" s="3" t="s">
        <v>21</v>
      </c>
      <c r="L56" s="3" t="s">
        <v>27</v>
      </c>
      <c r="M56" s="4">
        <v>45352</v>
      </c>
      <c r="N56" s="3">
        <v>79.989999999999995</v>
      </c>
      <c r="O56">
        <f t="shared" ca="1" si="0"/>
        <v>0</v>
      </c>
    </row>
    <row r="57" spans="1:15" ht="15" thickBot="1" x14ac:dyDescent="0.35">
      <c r="A57" s="3" t="s">
        <v>174</v>
      </c>
      <c r="B57" s="4">
        <v>45469</v>
      </c>
      <c r="C57" s="3" t="s">
        <v>59</v>
      </c>
      <c r="D57" s="3" t="s">
        <v>60</v>
      </c>
      <c r="E57" s="3" t="s">
        <v>117</v>
      </c>
      <c r="F57" s="3" t="s">
        <v>118</v>
      </c>
      <c r="G57" s="3" t="s">
        <v>19</v>
      </c>
      <c r="H57" s="3">
        <v>2</v>
      </c>
      <c r="I57" s="3">
        <v>89.99</v>
      </c>
      <c r="J57" s="3" t="s">
        <v>20</v>
      </c>
      <c r="K57" s="3" t="s">
        <v>50</v>
      </c>
      <c r="L57" s="3" t="s">
        <v>22</v>
      </c>
      <c r="M57" s="4">
        <v>44438</v>
      </c>
      <c r="N57" s="3">
        <v>179.98</v>
      </c>
      <c r="O57">
        <f t="shared" ca="1" si="0"/>
        <v>0</v>
      </c>
    </row>
    <row r="58" spans="1:15" ht="15" thickBot="1" x14ac:dyDescent="0.35">
      <c r="A58" s="3" t="s">
        <v>175</v>
      </c>
      <c r="B58" s="4">
        <v>45471</v>
      </c>
      <c r="C58" s="3" t="s">
        <v>38</v>
      </c>
      <c r="D58" s="3" t="s">
        <v>39</v>
      </c>
      <c r="E58" s="3" t="s">
        <v>80</v>
      </c>
      <c r="F58" s="3" t="s">
        <v>81</v>
      </c>
      <c r="G58" s="3" t="s">
        <v>19</v>
      </c>
      <c r="H58" s="3">
        <v>3</v>
      </c>
      <c r="I58" s="3">
        <v>699.99</v>
      </c>
      <c r="J58" s="3" t="s">
        <v>26</v>
      </c>
      <c r="K58" s="3" t="s">
        <v>63</v>
      </c>
      <c r="L58" s="3" t="s">
        <v>27</v>
      </c>
      <c r="M58" s="4">
        <v>45102</v>
      </c>
      <c r="N58" s="3">
        <v>2099.9699999999998</v>
      </c>
      <c r="O58">
        <f t="shared" ca="1" si="0"/>
        <v>0</v>
      </c>
    </row>
    <row r="59" spans="1:15" ht="15" thickBot="1" x14ac:dyDescent="0.35">
      <c r="A59" s="3" t="s">
        <v>176</v>
      </c>
      <c r="B59" s="4">
        <v>45471</v>
      </c>
      <c r="C59" s="3" t="s">
        <v>99</v>
      </c>
      <c r="D59" s="3" t="s">
        <v>100</v>
      </c>
      <c r="E59" s="3" t="s">
        <v>61</v>
      </c>
      <c r="F59" s="3" t="s">
        <v>62</v>
      </c>
      <c r="G59" s="3" t="s">
        <v>19</v>
      </c>
      <c r="H59" s="3">
        <v>4</v>
      </c>
      <c r="I59" s="3">
        <v>899.99</v>
      </c>
      <c r="J59" s="3" t="s">
        <v>26</v>
      </c>
      <c r="K59" s="3" t="s">
        <v>63</v>
      </c>
      <c r="L59" s="3" t="s">
        <v>27</v>
      </c>
      <c r="M59" s="4">
        <v>44993</v>
      </c>
      <c r="N59" s="3">
        <v>3599.96</v>
      </c>
      <c r="O59">
        <f t="shared" ca="1" si="0"/>
        <v>0</v>
      </c>
    </row>
    <row r="60" spans="1:15" ht="15" thickBot="1" x14ac:dyDescent="0.35">
      <c r="A60" s="3" t="s">
        <v>177</v>
      </c>
      <c r="B60" s="4">
        <v>45472</v>
      </c>
      <c r="C60" s="3" t="s">
        <v>120</v>
      </c>
      <c r="D60" s="3" t="s">
        <v>121</v>
      </c>
      <c r="E60" s="3" t="s">
        <v>44</v>
      </c>
      <c r="F60" s="3" t="s">
        <v>45</v>
      </c>
      <c r="G60" s="3" t="s">
        <v>46</v>
      </c>
      <c r="H60" s="3">
        <v>1</v>
      </c>
      <c r="I60" s="3">
        <v>149.99</v>
      </c>
      <c r="J60" s="3" t="s">
        <v>34</v>
      </c>
      <c r="K60" s="3" t="s">
        <v>63</v>
      </c>
      <c r="L60" s="3" t="s">
        <v>22</v>
      </c>
      <c r="M60" s="4">
        <v>44851</v>
      </c>
      <c r="N60" s="3">
        <v>149.99</v>
      </c>
      <c r="O60">
        <f t="shared" ca="1" si="0"/>
        <v>0</v>
      </c>
    </row>
    <row r="61" spans="1:15" ht="15" thickBot="1" x14ac:dyDescent="0.35">
      <c r="A61" s="3" t="s">
        <v>178</v>
      </c>
      <c r="B61" s="4">
        <v>45474</v>
      </c>
      <c r="C61" s="3" t="s">
        <v>132</v>
      </c>
      <c r="D61" s="3" t="s">
        <v>133</v>
      </c>
      <c r="E61" s="3" t="s">
        <v>117</v>
      </c>
      <c r="F61" s="3" t="s">
        <v>118</v>
      </c>
      <c r="G61" s="3" t="s">
        <v>19</v>
      </c>
      <c r="H61" s="3">
        <v>2</v>
      </c>
      <c r="I61" s="3">
        <v>89.99</v>
      </c>
      <c r="J61" s="3" t="s">
        <v>34</v>
      </c>
      <c r="K61" s="3" t="s">
        <v>21</v>
      </c>
      <c r="L61" s="3" t="s">
        <v>27</v>
      </c>
      <c r="M61" s="4">
        <v>45275</v>
      </c>
      <c r="N61" s="3">
        <v>179.98</v>
      </c>
      <c r="O61">
        <f t="shared" ca="1" si="0"/>
        <v>0</v>
      </c>
    </row>
    <row r="62" spans="1:15" ht="15" thickBot="1" x14ac:dyDescent="0.35">
      <c r="A62" s="3" t="s">
        <v>179</v>
      </c>
      <c r="B62" s="4">
        <v>45475</v>
      </c>
      <c r="C62" s="3" t="s">
        <v>55</v>
      </c>
      <c r="D62" s="3" t="s">
        <v>56</v>
      </c>
      <c r="E62" s="3" t="s">
        <v>117</v>
      </c>
      <c r="F62" s="3" t="s">
        <v>118</v>
      </c>
      <c r="G62" s="3" t="s">
        <v>19</v>
      </c>
      <c r="H62" s="3">
        <v>1</v>
      </c>
      <c r="I62" s="3">
        <v>89.99</v>
      </c>
      <c r="J62" s="3" t="s">
        <v>34</v>
      </c>
      <c r="K62" s="3" t="s">
        <v>50</v>
      </c>
      <c r="L62" s="3" t="s">
        <v>36</v>
      </c>
      <c r="M62" s="4">
        <v>44802</v>
      </c>
      <c r="N62" s="3">
        <v>89.99</v>
      </c>
      <c r="O62">
        <f t="shared" ca="1" si="0"/>
        <v>0</v>
      </c>
    </row>
    <row r="63" spans="1:15" ht="15" thickBot="1" x14ac:dyDescent="0.35">
      <c r="A63" s="3" t="s">
        <v>180</v>
      </c>
      <c r="B63" s="4">
        <v>45476</v>
      </c>
      <c r="C63" s="3" t="s">
        <v>68</v>
      </c>
      <c r="D63" s="3" t="s">
        <v>69</v>
      </c>
      <c r="E63" s="3" t="s">
        <v>117</v>
      </c>
      <c r="F63" s="3" t="s">
        <v>118</v>
      </c>
      <c r="G63" s="3" t="s">
        <v>19</v>
      </c>
      <c r="H63" s="3">
        <v>1</v>
      </c>
      <c r="I63" s="3">
        <v>89.99</v>
      </c>
      <c r="J63" s="3" t="s">
        <v>20</v>
      </c>
      <c r="K63" s="3" t="s">
        <v>35</v>
      </c>
      <c r="L63" s="3" t="s">
        <v>36</v>
      </c>
      <c r="M63" s="4">
        <v>44611</v>
      </c>
      <c r="N63" s="3">
        <v>89.99</v>
      </c>
      <c r="O63">
        <f t="shared" ca="1" si="0"/>
        <v>0</v>
      </c>
    </row>
    <row r="64" spans="1:15" ht="15" thickBot="1" x14ac:dyDescent="0.35">
      <c r="A64" s="3" t="s">
        <v>181</v>
      </c>
      <c r="B64" s="4">
        <v>45476</v>
      </c>
      <c r="C64" s="3" t="s">
        <v>182</v>
      </c>
      <c r="D64" s="3" t="s">
        <v>183</v>
      </c>
      <c r="E64" s="3" t="s">
        <v>114</v>
      </c>
      <c r="F64" s="3" t="s">
        <v>115</v>
      </c>
      <c r="G64" s="3" t="s">
        <v>33</v>
      </c>
      <c r="H64" s="3">
        <v>5</v>
      </c>
      <c r="I64" s="3">
        <v>79.989999999999995</v>
      </c>
      <c r="J64" s="3" t="s">
        <v>57</v>
      </c>
      <c r="K64" s="3" t="s">
        <v>21</v>
      </c>
      <c r="L64" s="3" t="s">
        <v>22</v>
      </c>
      <c r="M64" s="4">
        <v>44981</v>
      </c>
      <c r="N64" s="3">
        <v>399.95</v>
      </c>
      <c r="O64">
        <f t="shared" ca="1" si="0"/>
        <v>0</v>
      </c>
    </row>
    <row r="65" spans="1:15" ht="15" thickBot="1" x14ac:dyDescent="0.35">
      <c r="A65" s="3" t="s">
        <v>184</v>
      </c>
      <c r="B65" s="4">
        <v>45481</v>
      </c>
      <c r="C65" s="3" t="s">
        <v>185</v>
      </c>
      <c r="D65" s="3" t="s">
        <v>186</v>
      </c>
      <c r="E65" s="3" t="s">
        <v>44</v>
      </c>
      <c r="F65" s="3" t="s">
        <v>45</v>
      </c>
      <c r="G65" s="3" t="s">
        <v>46</v>
      </c>
      <c r="H65" s="3">
        <v>1</v>
      </c>
      <c r="I65" s="3">
        <v>149.99</v>
      </c>
      <c r="J65" s="3" t="s">
        <v>34</v>
      </c>
      <c r="K65" s="3" t="s">
        <v>40</v>
      </c>
      <c r="L65" s="3" t="s">
        <v>22</v>
      </c>
      <c r="M65" s="4">
        <v>44421</v>
      </c>
      <c r="N65" s="3">
        <v>149.99</v>
      </c>
      <c r="O65">
        <f t="shared" ca="1" si="0"/>
        <v>0</v>
      </c>
    </row>
    <row r="66" spans="1:15" ht="15" thickBot="1" x14ac:dyDescent="0.35">
      <c r="A66" s="3" t="s">
        <v>187</v>
      </c>
      <c r="B66" s="4">
        <v>45481</v>
      </c>
      <c r="C66" s="3" t="s">
        <v>42</v>
      </c>
      <c r="D66" s="3" t="s">
        <v>43</v>
      </c>
      <c r="E66" s="3" t="s">
        <v>80</v>
      </c>
      <c r="F66" s="3" t="s">
        <v>81</v>
      </c>
      <c r="G66" s="3" t="s">
        <v>19</v>
      </c>
      <c r="H66" s="3">
        <v>2</v>
      </c>
      <c r="I66" s="3">
        <v>699.99</v>
      </c>
      <c r="J66" s="3" t="s">
        <v>34</v>
      </c>
      <c r="K66" s="3" t="s">
        <v>63</v>
      </c>
      <c r="L66" s="3" t="s">
        <v>27</v>
      </c>
      <c r="M66" s="4">
        <v>45389</v>
      </c>
      <c r="N66" s="3">
        <v>1399.98</v>
      </c>
      <c r="O66">
        <f t="shared" ca="1" si="0"/>
        <v>0</v>
      </c>
    </row>
    <row r="67" spans="1:15" ht="15" thickBot="1" x14ac:dyDescent="0.35">
      <c r="A67" s="3" t="s">
        <v>188</v>
      </c>
      <c r="B67" s="4">
        <v>45481</v>
      </c>
      <c r="C67" s="3" t="s">
        <v>96</v>
      </c>
      <c r="D67" s="3" t="s">
        <v>97</v>
      </c>
      <c r="E67" s="3" t="s">
        <v>117</v>
      </c>
      <c r="F67" s="3" t="s">
        <v>118</v>
      </c>
      <c r="G67" s="3" t="s">
        <v>19</v>
      </c>
      <c r="H67" s="3">
        <v>5</v>
      </c>
      <c r="I67" s="3">
        <v>89.99</v>
      </c>
      <c r="J67" s="3" t="s">
        <v>57</v>
      </c>
      <c r="K67" s="3" t="s">
        <v>40</v>
      </c>
      <c r="L67" s="3" t="s">
        <v>27</v>
      </c>
      <c r="M67" s="4">
        <v>45161</v>
      </c>
      <c r="N67" s="3">
        <v>449.95</v>
      </c>
      <c r="O67">
        <f t="shared" ref="O67:O130" ca="1" si="1">IF(A67&lt;&gt;"",IF(O67="",NOW(),O67),"")</f>
        <v>0</v>
      </c>
    </row>
    <row r="68" spans="1:15" ht="15" thickBot="1" x14ac:dyDescent="0.35">
      <c r="A68" s="3" t="s">
        <v>189</v>
      </c>
      <c r="B68" s="4">
        <v>45482</v>
      </c>
      <c r="C68" s="3" t="s">
        <v>171</v>
      </c>
      <c r="D68" s="3" t="s">
        <v>172</v>
      </c>
      <c r="E68" s="3" t="s">
        <v>31</v>
      </c>
      <c r="F68" s="3" t="s">
        <v>32</v>
      </c>
      <c r="G68" s="3" t="s">
        <v>33</v>
      </c>
      <c r="H68" s="3">
        <v>4</v>
      </c>
      <c r="I68" s="3">
        <v>59.99</v>
      </c>
      <c r="J68" s="3" t="s">
        <v>20</v>
      </c>
      <c r="K68" s="3" t="s">
        <v>35</v>
      </c>
      <c r="L68" s="3" t="s">
        <v>36</v>
      </c>
      <c r="M68" s="4">
        <v>44509</v>
      </c>
      <c r="N68" s="3">
        <v>239.96</v>
      </c>
      <c r="O68">
        <f t="shared" ca="1" si="1"/>
        <v>0</v>
      </c>
    </row>
    <row r="69" spans="1:15" ht="15" thickBot="1" x14ac:dyDescent="0.35">
      <c r="A69" s="3" t="s">
        <v>190</v>
      </c>
      <c r="B69" s="4">
        <v>45484</v>
      </c>
      <c r="C69" s="3" t="s">
        <v>24</v>
      </c>
      <c r="D69" s="3" t="s">
        <v>25</v>
      </c>
      <c r="E69" s="3" t="s">
        <v>52</v>
      </c>
      <c r="F69" s="3" t="s">
        <v>53</v>
      </c>
      <c r="G69" s="3" t="s">
        <v>19</v>
      </c>
      <c r="H69" s="3">
        <v>1</v>
      </c>
      <c r="I69" s="3">
        <v>149.99</v>
      </c>
      <c r="J69" s="3" t="s">
        <v>20</v>
      </c>
      <c r="K69" s="3" t="s">
        <v>21</v>
      </c>
      <c r="L69" s="3" t="s">
        <v>36</v>
      </c>
      <c r="M69" s="4">
        <v>44909</v>
      </c>
      <c r="N69" s="3">
        <v>149.99</v>
      </c>
      <c r="O69">
        <f t="shared" ca="1" si="1"/>
        <v>0</v>
      </c>
    </row>
    <row r="70" spans="1:15" ht="15" thickBot="1" x14ac:dyDescent="0.35">
      <c r="A70" s="3" t="s">
        <v>191</v>
      </c>
      <c r="B70" s="4">
        <v>45484</v>
      </c>
      <c r="C70" s="3" t="s">
        <v>192</v>
      </c>
      <c r="D70" s="3" t="s">
        <v>193</v>
      </c>
      <c r="E70" s="3" t="s">
        <v>105</v>
      </c>
      <c r="F70" s="3" t="s">
        <v>106</v>
      </c>
      <c r="G70" s="3" t="s">
        <v>46</v>
      </c>
      <c r="H70" s="3">
        <v>1</v>
      </c>
      <c r="I70" s="3">
        <v>299.99</v>
      </c>
      <c r="J70" s="3" t="s">
        <v>26</v>
      </c>
      <c r="K70" s="3" t="s">
        <v>40</v>
      </c>
      <c r="L70" s="3" t="s">
        <v>27</v>
      </c>
      <c r="M70" s="4">
        <v>44891</v>
      </c>
      <c r="N70" s="3">
        <v>299.99</v>
      </c>
      <c r="O70">
        <f t="shared" ca="1" si="1"/>
        <v>0</v>
      </c>
    </row>
    <row r="71" spans="1:15" ht="15" thickBot="1" x14ac:dyDescent="0.35">
      <c r="A71" s="3" t="s">
        <v>194</v>
      </c>
      <c r="B71" s="4">
        <v>45487</v>
      </c>
      <c r="C71" s="3" t="s">
        <v>192</v>
      </c>
      <c r="D71" s="3" t="s">
        <v>193</v>
      </c>
      <c r="E71" s="3" t="s">
        <v>126</v>
      </c>
      <c r="F71" s="3" t="s">
        <v>127</v>
      </c>
      <c r="G71" s="3" t="s">
        <v>46</v>
      </c>
      <c r="H71" s="3">
        <v>2</v>
      </c>
      <c r="I71" s="3">
        <v>199.99</v>
      </c>
      <c r="J71" s="3" t="s">
        <v>20</v>
      </c>
      <c r="K71" s="3" t="s">
        <v>40</v>
      </c>
      <c r="L71" s="3" t="s">
        <v>22</v>
      </c>
      <c r="M71" s="4">
        <v>44541</v>
      </c>
      <c r="N71" s="3">
        <v>399.98</v>
      </c>
      <c r="O71">
        <f t="shared" ca="1" si="1"/>
        <v>0</v>
      </c>
    </row>
    <row r="72" spans="1:15" ht="15" thickBot="1" x14ac:dyDescent="0.35">
      <c r="A72" s="3" t="s">
        <v>195</v>
      </c>
      <c r="B72" s="4">
        <v>45490</v>
      </c>
      <c r="C72" s="3" t="s">
        <v>196</v>
      </c>
      <c r="D72" s="3" t="s">
        <v>197</v>
      </c>
      <c r="E72" s="3" t="s">
        <v>31</v>
      </c>
      <c r="F72" s="3" t="s">
        <v>32</v>
      </c>
      <c r="G72" s="3" t="s">
        <v>33</v>
      </c>
      <c r="H72" s="3">
        <v>3</v>
      </c>
      <c r="I72" s="3">
        <v>59.99</v>
      </c>
      <c r="J72" s="3" t="s">
        <v>26</v>
      </c>
      <c r="K72" s="3" t="s">
        <v>50</v>
      </c>
      <c r="L72" s="3" t="s">
        <v>22</v>
      </c>
      <c r="M72" s="4">
        <v>45130</v>
      </c>
      <c r="N72" s="3">
        <v>179.97</v>
      </c>
      <c r="O72">
        <f t="shared" ca="1" si="1"/>
        <v>0</v>
      </c>
    </row>
    <row r="73" spans="1:15" ht="15" thickBot="1" x14ac:dyDescent="0.35">
      <c r="A73" s="3" t="s">
        <v>198</v>
      </c>
      <c r="B73" s="4">
        <v>45490</v>
      </c>
      <c r="C73" s="3" t="s">
        <v>72</v>
      </c>
      <c r="D73" s="3" t="s">
        <v>73</v>
      </c>
      <c r="E73" s="3" t="s">
        <v>44</v>
      </c>
      <c r="F73" s="3" t="s">
        <v>45</v>
      </c>
      <c r="G73" s="3" t="s">
        <v>46</v>
      </c>
      <c r="H73" s="3">
        <v>3</v>
      </c>
      <c r="I73" s="3">
        <v>149.99</v>
      </c>
      <c r="J73" s="3" t="s">
        <v>20</v>
      </c>
      <c r="K73" s="3" t="s">
        <v>21</v>
      </c>
      <c r="L73" s="3" t="s">
        <v>27</v>
      </c>
      <c r="M73" s="4">
        <v>45199</v>
      </c>
      <c r="N73" s="3">
        <v>449.97</v>
      </c>
      <c r="O73">
        <f t="shared" ca="1" si="1"/>
        <v>0</v>
      </c>
    </row>
    <row r="74" spans="1:15" ht="15" thickBot="1" x14ac:dyDescent="0.35">
      <c r="A74" s="3" t="s">
        <v>199</v>
      </c>
      <c r="B74" s="4">
        <v>45491</v>
      </c>
      <c r="C74" s="3" t="s">
        <v>65</v>
      </c>
      <c r="D74" s="3" t="s">
        <v>66</v>
      </c>
      <c r="E74" s="3" t="s">
        <v>126</v>
      </c>
      <c r="F74" s="3" t="s">
        <v>127</v>
      </c>
      <c r="G74" s="3" t="s">
        <v>46</v>
      </c>
      <c r="H74" s="3">
        <v>3</v>
      </c>
      <c r="I74" s="3">
        <v>199.99</v>
      </c>
      <c r="J74" s="3" t="s">
        <v>20</v>
      </c>
      <c r="K74" s="3" t="s">
        <v>40</v>
      </c>
      <c r="L74" s="3" t="s">
        <v>27</v>
      </c>
      <c r="M74" s="4">
        <v>45254</v>
      </c>
      <c r="N74" s="3">
        <v>599.97</v>
      </c>
      <c r="O74">
        <f t="shared" ca="1" si="1"/>
        <v>0</v>
      </c>
    </row>
    <row r="75" spans="1:15" ht="15" thickBot="1" x14ac:dyDescent="0.35">
      <c r="A75" s="3" t="s">
        <v>200</v>
      </c>
      <c r="B75" s="4">
        <v>45496</v>
      </c>
      <c r="C75" s="3" t="s">
        <v>150</v>
      </c>
      <c r="D75" s="3" t="s">
        <v>151</v>
      </c>
      <c r="E75" s="3" t="s">
        <v>61</v>
      </c>
      <c r="F75" s="3" t="s">
        <v>62</v>
      </c>
      <c r="G75" s="3" t="s">
        <v>19</v>
      </c>
      <c r="H75" s="3">
        <v>1</v>
      </c>
      <c r="I75" s="3">
        <v>899.99</v>
      </c>
      <c r="J75" s="3" t="s">
        <v>20</v>
      </c>
      <c r="K75" s="3" t="s">
        <v>21</v>
      </c>
      <c r="L75" s="3" t="s">
        <v>36</v>
      </c>
      <c r="M75" s="4">
        <v>45179</v>
      </c>
      <c r="N75" s="3">
        <v>899.99</v>
      </c>
      <c r="O75">
        <f t="shared" ca="1" si="1"/>
        <v>0</v>
      </c>
    </row>
    <row r="76" spans="1:15" ht="15" thickBot="1" x14ac:dyDescent="0.35">
      <c r="A76" s="3" t="s">
        <v>201</v>
      </c>
      <c r="B76" s="4">
        <v>45497</v>
      </c>
      <c r="C76" s="3" t="s">
        <v>24</v>
      </c>
      <c r="D76" s="3" t="s">
        <v>25</v>
      </c>
      <c r="E76" s="3" t="s">
        <v>61</v>
      </c>
      <c r="F76" s="3" t="s">
        <v>62</v>
      </c>
      <c r="G76" s="3" t="s">
        <v>19</v>
      </c>
      <c r="H76" s="3">
        <v>5</v>
      </c>
      <c r="I76" s="3">
        <v>899.99</v>
      </c>
      <c r="J76" s="3" t="s">
        <v>57</v>
      </c>
      <c r="K76" s="3" t="s">
        <v>35</v>
      </c>
      <c r="L76" s="3" t="s">
        <v>36</v>
      </c>
      <c r="M76" s="4">
        <v>44899</v>
      </c>
      <c r="N76" s="3">
        <v>4499.95</v>
      </c>
      <c r="O76">
        <f t="shared" ca="1" si="1"/>
        <v>0</v>
      </c>
    </row>
    <row r="77" spans="1:15" ht="15" thickBot="1" x14ac:dyDescent="0.35">
      <c r="A77" s="3" t="s">
        <v>202</v>
      </c>
      <c r="B77" s="4">
        <v>45498</v>
      </c>
      <c r="C77" s="3" t="s">
        <v>182</v>
      </c>
      <c r="D77" s="3" t="s">
        <v>183</v>
      </c>
      <c r="E77" s="3" t="s">
        <v>31</v>
      </c>
      <c r="F77" s="3" t="s">
        <v>32</v>
      </c>
      <c r="G77" s="3" t="s">
        <v>33</v>
      </c>
      <c r="H77" s="3">
        <v>2</v>
      </c>
      <c r="I77" s="3">
        <v>59.99</v>
      </c>
      <c r="J77" s="3" t="s">
        <v>20</v>
      </c>
      <c r="K77" s="3" t="s">
        <v>40</v>
      </c>
      <c r="L77" s="3" t="s">
        <v>36</v>
      </c>
      <c r="M77" s="4">
        <v>45152</v>
      </c>
      <c r="N77" s="3">
        <v>119.98</v>
      </c>
      <c r="O77">
        <f t="shared" ca="1" si="1"/>
        <v>0</v>
      </c>
    </row>
    <row r="78" spans="1:15" ht="15" thickBot="1" x14ac:dyDescent="0.35">
      <c r="A78" s="3" t="s">
        <v>203</v>
      </c>
      <c r="B78" s="4">
        <v>45498</v>
      </c>
      <c r="C78" s="3" t="s">
        <v>196</v>
      </c>
      <c r="D78" s="3" t="s">
        <v>197</v>
      </c>
      <c r="E78" s="3" t="s">
        <v>17</v>
      </c>
      <c r="F78" s="3" t="s">
        <v>18</v>
      </c>
      <c r="G78" s="3" t="s">
        <v>19</v>
      </c>
      <c r="H78" s="3">
        <v>4</v>
      </c>
      <c r="I78" s="3">
        <v>249.99</v>
      </c>
      <c r="J78" s="3" t="s">
        <v>57</v>
      </c>
      <c r="K78" s="3" t="s">
        <v>21</v>
      </c>
      <c r="L78" s="3" t="s">
        <v>36</v>
      </c>
      <c r="M78" s="4">
        <v>45127</v>
      </c>
      <c r="N78" s="3">
        <v>999.96</v>
      </c>
      <c r="O78">
        <f t="shared" ca="1" si="1"/>
        <v>0</v>
      </c>
    </row>
    <row r="79" spans="1:15" ht="15" thickBot="1" x14ac:dyDescent="0.35">
      <c r="A79" s="3" t="s">
        <v>204</v>
      </c>
      <c r="B79" s="4">
        <v>45500</v>
      </c>
      <c r="C79" s="3" t="s">
        <v>96</v>
      </c>
      <c r="D79" s="3" t="s">
        <v>97</v>
      </c>
      <c r="E79" s="3" t="s">
        <v>17</v>
      </c>
      <c r="F79" s="3" t="s">
        <v>18</v>
      </c>
      <c r="G79" s="3" t="s">
        <v>19</v>
      </c>
      <c r="H79" s="3">
        <v>2</v>
      </c>
      <c r="I79" s="3">
        <v>249.99</v>
      </c>
      <c r="J79" s="3" t="s">
        <v>20</v>
      </c>
      <c r="K79" s="3" t="s">
        <v>40</v>
      </c>
      <c r="L79" s="3" t="s">
        <v>27</v>
      </c>
      <c r="M79" s="4">
        <v>45164</v>
      </c>
      <c r="N79" s="3">
        <v>499.98</v>
      </c>
      <c r="O79">
        <f t="shared" ca="1" si="1"/>
        <v>0</v>
      </c>
    </row>
    <row r="80" spans="1:15" ht="15" thickBot="1" x14ac:dyDescent="0.35">
      <c r="A80" s="3" t="s">
        <v>205</v>
      </c>
      <c r="B80" s="4">
        <v>45500</v>
      </c>
      <c r="C80" s="3" t="s">
        <v>147</v>
      </c>
      <c r="D80" s="3" t="s">
        <v>148</v>
      </c>
      <c r="E80" s="3" t="s">
        <v>105</v>
      </c>
      <c r="F80" s="3" t="s">
        <v>106</v>
      </c>
      <c r="G80" s="3" t="s">
        <v>46</v>
      </c>
      <c r="H80" s="3">
        <v>1</v>
      </c>
      <c r="I80" s="3">
        <v>299.99</v>
      </c>
      <c r="J80" s="3" t="s">
        <v>20</v>
      </c>
      <c r="K80" s="3" t="s">
        <v>35</v>
      </c>
      <c r="L80" s="3" t="s">
        <v>22</v>
      </c>
      <c r="M80" s="4">
        <v>44982</v>
      </c>
      <c r="N80" s="3">
        <v>299.99</v>
      </c>
      <c r="O80">
        <f t="shared" ca="1" si="1"/>
        <v>0</v>
      </c>
    </row>
    <row r="81" spans="1:15" ht="15" thickBot="1" x14ac:dyDescent="0.35">
      <c r="A81" s="3" t="s">
        <v>206</v>
      </c>
      <c r="B81" s="4">
        <v>45501</v>
      </c>
      <c r="C81" s="3" t="s">
        <v>86</v>
      </c>
      <c r="D81" s="3" t="s">
        <v>87</v>
      </c>
      <c r="E81" s="3" t="s">
        <v>117</v>
      </c>
      <c r="F81" s="3" t="s">
        <v>118</v>
      </c>
      <c r="G81" s="3" t="s">
        <v>19</v>
      </c>
      <c r="H81" s="3">
        <v>2</v>
      </c>
      <c r="I81" s="3">
        <v>89.99</v>
      </c>
      <c r="J81" s="3" t="s">
        <v>34</v>
      </c>
      <c r="K81" s="3" t="s">
        <v>35</v>
      </c>
      <c r="L81" s="3" t="s">
        <v>22</v>
      </c>
      <c r="M81" s="4">
        <v>44976</v>
      </c>
      <c r="N81" s="3">
        <v>179.98</v>
      </c>
      <c r="O81">
        <f t="shared" ca="1" si="1"/>
        <v>0</v>
      </c>
    </row>
    <row r="82" spans="1:15" ht="15" thickBot="1" x14ac:dyDescent="0.35">
      <c r="A82" s="3" t="s">
        <v>207</v>
      </c>
      <c r="B82" s="4">
        <v>45501</v>
      </c>
      <c r="C82" s="3" t="s">
        <v>147</v>
      </c>
      <c r="D82" s="3" t="s">
        <v>148</v>
      </c>
      <c r="E82" s="3" t="s">
        <v>105</v>
      </c>
      <c r="F82" s="3" t="s">
        <v>106</v>
      </c>
      <c r="G82" s="3" t="s">
        <v>46</v>
      </c>
      <c r="H82" s="3">
        <v>3</v>
      </c>
      <c r="I82" s="3">
        <v>299.99</v>
      </c>
      <c r="J82" s="3" t="s">
        <v>20</v>
      </c>
      <c r="K82" s="3" t="s">
        <v>21</v>
      </c>
      <c r="L82" s="3" t="s">
        <v>22</v>
      </c>
      <c r="M82" s="4">
        <v>44732</v>
      </c>
      <c r="N82" s="3">
        <v>899.97</v>
      </c>
      <c r="O82">
        <f t="shared" ca="1" si="1"/>
        <v>0</v>
      </c>
    </row>
    <row r="83" spans="1:15" ht="15" thickBot="1" x14ac:dyDescent="0.35">
      <c r="A83" s="3" t="s">
        <v>208</v>
      </c>
      <c r="B83" s="4">
        <v>45503</v>
      </c>
      <c r="C83" s="3" t="s">
        <v>86</v>
      </c>
      <c r="D83" s="3" t="s">
        <v>87</v>
      </c>
      <c r="E83" s="3" t="s">
        <v>80</v>
      </c>
      <c r="F83" s="3" t="s">
        <v>81</v>
      </c>
      <c r="G83" s="3" t="s">
        <v>19</v>
      </c>
      <c r="H83" s="3">
        <v>2</v>
      </c>
      <c r="I83" s="3">
        <v>699.99</v>
      </c>
      <c r="J83" s="3" t="s">
        <v>26</v>
      </c>
      <c r="K83" s="3" t="s">
        <v>40</v>
      </c>
      <c r="L83" s="3" t="s">
        <v>27</v>
      </c>
      <c r="M83" s="4">
        <v>44999</v>
      </c>
      <c r="N83" s="3">
        <v>1399.98</v>
      </c>
      <c r="O83">
        <f t="shared" ca="1" si="1"/>
        <v>0</v>
      </c>
    </row>
    <row r="84" spans="1:15" ht="15" thickBot="1" x14ac:dyDescent="0.35">
      <c r="A84" s="3" t="s">
        <v>209</v>
      </c>
      <c r="B84" s="4">
        <v>45504</v>
      </c>
      <c r="C84" s="3" t="s">
        <v>120</v>
      </c>
      <c r="D84" s="3" t="s">
        <v>121</v>
      </c>
      <c r="E84" s="3" t="s">
        <v>61</v>
      </c>
      <c r="F84" s="3" t="s">
        <v>62</v>
      </c>
      <c r="G84" s="3" t="s">
        <v>19</v>
      </c>
      <c r="H84" s="3">
        <v>4</v>
      </c>
      <c r="I84" s="3">
        <v>899.99</v>
      </c>
      <c r="J84" s="3" t="s">
        <v>57</v>
      </c>
      <c r="K84" s="3" t="s">
        <v>35</v>
      </c>
      <c r="L84" s="3" t="s">
        <v>36</v>
      </c>
      <c r="M84" s="4">
        <v>44523</v>
      </c>
      <c r="N84" s="3">
        <v>3599.96</v>
      </c>
      <c r="O84">
        <f t="shared" ca="1" si="1"/>
        <v>0</v>
      </c>
    </row>
    <row r="85" spans="1:15" ht="15" thickBot="1" x14ac:dyDescent="0.35">
      <c r="A85" s="3" t="s">
        <v>210</v>
      </c>
      <c r="B85" s="4">
        <v>45509</v>
      </c>
      <c r="C85" s="3" t="s">
        <v>211</v>
      </c>
      <c r="D85" s="3" t="s">
        <v>212</v>
      </c>
      <c r="E85" s="3" t="s">
        <v>44</v>
      </c>
      <c r="F85" s="3" t="s">
        <v>45</v>
      </c>
      <c r="G85" s="3" t="s">
        <v>46</v>
      </c>
      <c r="H85" s="3">
        <v>2</v>
      </c>
      <c r="I85" s="3">
        <v>149.99</v>
      </c>
      <c r="J85" s="3" t="s">
        <v>26</v>
      </c>
      <c r="K85" s="3" t="s">
        <v>50</v>
      </c>
      <c r="L85" s="3" t="s">
        <v>22</v>
      </c>
      <c r="M85" s="4">
        <v>44542</v>
      </c>
      <c r="N85" s="3">
        <v>299.98</v>
      </c>
      <c r="O85">
        <f t="shared" ca="1" si="1"/>
        <v>0</v>
      </c>
    </row>
    <row r="86" spans="1:15" ht="15" thickBot="1" x14ac:dyDescent="0.35">
      <c r="A86" s="3" t="s">
        <v>213</v>
      </c>
      <c r="B86" s="4">
        <v>45510</v>
      </c>
      <c r="C86" s="3" t="s">
        <v>102</v>
      </c>
      <c r="D86" s="3" t="s">
        <v>103</v>
      </c>
      <c r="E86" s="3" t="s">
        <v>44</v>
      </c>
      <c r="F86" s="3" t="s">
        <v>45</v>
      </c>
      <c r="G86" s="3" t="s">
        <v>46</v>
      </c>
      <c r="H86" s="3">
        <v>2</v>
      </c>
      <c r="I86" s="3">
        <v>149.99</v>
      </c>
      <c r="J86" s="3" t="s">
        <v>57</v>
      </c>
      <c r="K86" s="3" t="s">
        <v>63</v>
      </c>
      <c r="L86" s="3" t="s">
        <v>36</v>
      </c>
      <c r="M86" s="4">
        <v>44667</v>
      </c>
      <c r="N86" s="3">
        <v>299.98</v>
      </c>
      <c r="O86">
        <f t="shared" ca="1" si="1"/>
        <v>0</v>
      </c>
    </row>
    <row r="87" spans="1:15" ht="15" thickBot="1" x14ac:dyDescent="0.35">
      <c r="A87" s="3" t="s">
        <v>214</v>
      </c>
      <c r="B87" s="4">
        <v>45513</v>
      </c>
      <c r="C87" s="3" t="s">
        <v>89</v>
      </c>
      <c r="D87" s="3" t="s">
        <v>90</v>
      </c>
      <c r="E87" s="3" t="s">
        <v>117</v>
      </c>
      <c r="F87" s="3" t="s">
        <v>118</v>
      </c>
      <c r="G87" s="3" t="s">
        <v>19</v>
      </c>
      <c r="H87" s="3">
        <v>1</v>
      </c>
      <c r="I87" s="3">
        <v>89.99</v>
      </c>
      <c r="J87" s="3" t="s">
        <v>26</v>
      </c>
      <c r="K87" s="3" t="s">
        <v>40</v>
      </c>
      <c r="L87" s="3" t="s">
        <v>36</v>
      </c>
      <c r="M87" s="4">
        <v>45393</v>
      </c>
      <c r="N87" s="3">
        <v>89.99</v>
      </c>
      <c r="O87">
        <f t="shared" ca="1" si="1"/>
        <v>0</v>
      </c>
    </row>
    <row r="88" spans="1:15" ht="15" thickBot="1" x14ac:dyDescent="0.35">
      <c r="A88" s="3" t="s">
        <v>215</v>
      </c>
      <c r="B88" s="4">
        <v>45515</v>
      </c>
      <c r="C88" s="3" t="s">
        <v>86</v>
      </c>
      <c r="D88" s="3" t="s">
        <v>87</v>
      </c>
      <c r="E88" s="3" t="s">
        <v>105</v>
      </c>
      <c r="F88" s="3" t="s">
        <v>106</v>
      </c>
      <c r="G88" s="3" t="s">
        <v>46</v>
      </c>
      <c r="H88" s="3">
        <v>5</v>
      </c>
      <c r="I88" s="3">
        <v>299.99</v>
      </c>
      <c r="J88" s="3" t="s">
        <v>26</v>
      </c>
      <c r="K88" s="3" t="s">
        <v>40</v>
      </c>
      <c r="L88" s="3" t="s">
        <v>22</v>
      </c>
      <c r="M88" s="4">
        <v>44965</v>
      </c>
      <c r="N88" s="3">
        <v>1499.95</v>
      </c>
      <c r="O88">
        <f t="shared" ca="1" si="1"/>
        <v>0</v>
      </c>
    </row>
    <row r="89" spans="1:15" ht="15" thickBot="1" x14ac:dyDescent="0.35">
      <c r="A89" s="3" t="s">
        <v>216</v>
      </c>
      <c r="B89" s="4">
        <v>45517</v>
      </c>
      <c r="C89" s="3" t="s">
        <v>182</v>
      </c>
      <c r="D89" s="3" t="s">
        <v>183</v>
      </c>
      <c r="E89" s="3" t="s">
        <v>52</v>
      </c>
      <c r="F89" s="3" t="s">
        <v>53</v>
      </c>
      <c r="G89" s="3" t="s">
        <v>19</v>
      </c>
      <c r="H89" s="3">
        <v>4</v>
      </c>
      <c r="I89" s="3">
        <v>149.99</v>
      </c>
      <c r="J89" s="3" t="s">
        <v>57</v>
      </c>
      <c r="K89" s="3" t="s">
        <v>35</v>
      </c>
      <c r="L89" s="3" t="s">
        <v>27</v>
      </c>
      <c r="M89" s="4">
        <v>44820</v>
      </c>
      <c r="N89" s="3">
        <v>599.96</v>
      </c>
      <c r="O89">
        <f t="shared" ca="1" si="1"/>
        <v>0</v>
      </c>
    </row>
    <row r="90" spans="1:15" ht="15" thickBot="1" x14ac:dyDescent="0.35">
      <c r="A90" s="3" t="s">
        <v>217</v>
      </c>
      <c r="B90" s="4">
        <v>45517</v>
      </c>
      <c r="C90" s="3" t="s">
        <v>185</v>
      </c>
      <c r="D90" s="3" t="s">
        <v>186</v>
      </c>
      <c r="E90" s="3" t="s">
        <v>17</v>
      </c>
      <c r="F90" s="3" t="s">
        <v>18</v>
      </c>
      <c r="G90" s="3" t="s">
        <v>19</v>
      </c>
      <c r="H90" s="3">
        <v>5</v>
      </c>
      <c r="I90" s="3">
        <v>249.99</v>
      </c>
      <c r="J90" s="3" t="s">
        <v>34</v>
      </c>
      <c r="K90" s="3" t="s">
        <v>63</v>
      </c>
      <c r="L90" s="3" t="s">
        <v>27</v>
      </c>
      <c r="M90" s="4">
        <v>44782</v>
      </c>
      <c r="N90" s="3">
        <v>1249.95</v>
      </c>
      <c r="O90">
        <f t="shared" ca="1" si="1"/>
        <v>0</v>
      </c>
    </row>
    <row r="91" spans="1:15" ht="15" thickBot="1" x14ac:dyDescent="0.35">
      <c r="A91" s="3" t="s">
        <v>218</v>
      </c>
      <c r="B91" s="4">
        <v>45517</v>
      </c>
      <c r="C91" s="3" t="s">
        <v>65</v>
      </c>
      <c r="D91" s="3" t="s">
        <v>66</v>
      </c>
      <c r="E91" s="3" t="s">
        <v>17</v>
      </c>
      <c r="F91" s="3" t="s">
        <v>18</v>
      </c>
      <c r="G91" s="3" t="s">
        <v>19</v>
      </c>
      <c r="H91" s="3">
        <v>3</v>
      </c>
      <c r="I91" s="3">
        <v>249.99</v>
      </c>
      <c r="J91" s="3" t="s">
        <v>34</v>
      </c>
      <c r="K91" s="3" t="s">
        <v>40</v>
      </c>
      <c r="L91" s="3" t="s">
        <v>27</v>
      </c>
      <c r="M91" s="4">
        <v>44465</v>
      </c>
      <c r="N91" s="3">
        <v>749.97</v>
      </c>
      <c r="O91">
        <f t="shared" ca="1" si="1"/>
        <v>0</v>
      </c>
    </row>
    <row r="92" spans="1:15" ht="15" thickBot="1" x14ac:dyDescent="0.35">
      <c r="A92" s="3" t="s">
        <v>219</v>
      </c>
      <c r="B92" s="4">
        <v>45517</v>
      </c>
      <c r="C92" s="3" t="s">
        <v>38</v>
      </c>
      <c r="D92" s="3" t="s">
        <v>39</v>
      </c>
      <c r="E92" s="3" t="s">
        <v>126</v>
      </c>
      <c r="F92" s="3" t="s">
        <v>127</v>
      </c>
      <c r="G92" s="3" t="s">
        <v>46</v>
      </c>
      <c r="H92" s="3">
        <v>4</v>
      </c>
      <c r="I92" s="3">
        <v>199.99</v>
      </c>
      <c r="J92" s="3" t="s">
        <v>20</v>
      </c>
      <c r="K92" s="3" t="s">
        <v>40</v>
      </c>
      <c r="L92" s="3" t="s">
        <v>36</v>
      </c>
      <c r="M92" s="4">
        <v>44458</v>
      </c>
      <c r="N92" s="3">
        <v>799.96</v>
      </c>
      <c r="O92">
        <f t="shared" ca="1" si="1"/>
        <v>0</v>
      </c>
    </row>
    <row r="93" spans="1:15" ht="15" thickBot="1" x14ac:dyDescent="0.35">
      <c r="A93" s="3" t="s">
        <v>220</v>
      </c>
      <c r="B93" s="4">
        <v>45519</v>
      </c>
      <c r="C93" s="3" t="s">
        <v>158</v>
      </c>
      <c r="D93" s="3" t="s">
        <v>159</v>
      </c>
      <c r="E93" s="3" t="s">
        <v>126</v>
      </c>
      <c r="F93" s="3" t="s">
        <v>127</v>
      </c>
      <c r="G93" s="3" t="s">
        <v>46</v>
      </c>
      <c r="H93" s="3">
        <v>5</v>
      </c>
      <c r="I93" s="3">
        <v>199.99</v>
      </c>
      <c r="J93" s="3" t="s">
        <v>20</v>
      </c>
      <c r="K93" s="3" t="s">
        <v>40</v>
      </c>
      <c r="L93" s="3" t="s">
        <v>27</v>
      </c>
      <c r="M93" s="4">
        <v>44991</v>
      </c>
      <c r="N93" s="3">
        <v>999.95</v>
      </c>
      <c r="O93">
        <f t="shared" ca="1" si="1"/>
        <v>0</v>
      </c>
    </row>
    <row r="94" spans="1:15" ht="15" thickBot="1" x14ac:dyDescent="0.35">
      <c r="A94" s="3" t="s">
        <v>221</v>
      </c>
      <c r="B94" s="4">
        <v>45522</v>
      </c>
      <c r="C94" s="3" t="s">
        <v>86</v>
      </c>
      <c r="D94" s="3" t="s">
        <v>87</v>
      </c>
      <c r="E94" s="3" t="s">
        <v>117</v>
      </c>
      <c r="F94" s="3" t="s">
        <v>118</v>
      </c>
      <c r="G94" s="3" t="s">
        <v>19</v>
      </c>
      <c r="H94" s="3">
        <v>2</v>
      </c>
      <c r="I94" s="3">
        <v>89.99</v>
      </c>
      <c r="J94" s="3" t="s">
        <v>20</v>
      </c>
      <c r="K94" s="3" t="s">
        <v>63</v>
      </c>
      <c r="L94" s="3" t="s">
        <v>27</v>
      </c>
      <c r="M94" s="4">
        <v>44972</v>
      </c>
      <c r="N94" s="3">
        <v>179.98</v>
      </c>
      <c r="O94">
        <f t="shared" ca="1" si="1"/>
        <v>0</v>
      </c>
    </row>
    <row r="95" spans="1:15" ht="15" thickBot="1" x14ac:dyDescent="0.35">
      <c r="A95" s="3" t="s">
        <v>222</v>
      </c>
      <c r="B95" s="4">
        <v>45523</v>
      </c>
      <c r="C95" s="3" t="s">
        <v>196</v>
      </c>
      <c r="D95" s="3" t="s">
        <v>197</v>
      </c>
      <c r="E95" s="3" t="s">
        <v>61</v>
      </c>
      <c r="F95" s="3" t="s">
        <v>62</v>
      </c>
      <c r="G95" s="3" t="s">
        <v>19</v>
      </c>
      <c r="H95" s="3">
        <v>5</v>
      </c>
      <c r="I95" s="3">
        <v>899.99</v>
      </c>
      <c r="J95" s="3" t="s">
        <v>57</v>
      </c>
      <c r="K95" s="3" t="s">
        <v>63</v>
      </c>
      <c r="L95" s="3" t="s">
        <v>22</v>
      </c>
      <c r="M95" s="4">
        <v>44526</v>
      </c>
      <c r="N95" s="3">
        <v>4499.95</v>
      </c>
      <c r="O95">
        <f t="shared" ca="1" si="1"/>
        <v>0</v>
      </c>
    </row>
    <row r="96" spans="1:15" ht="15" thickBot="1" x14ac:dyDescent="0.35">
      <c r="A96" s="3" t="s">
        <v>223</v>
      </c>
      <c r="B96" s="4">
        <v>45523</v>
      </c>
      <c r="C96" s="3" t="s">
        <v>108</v>
      </c>
      <c r="D96" s="3" t="s">
        <v>109</v>
      </c>
      <c r="E96" s="3" t="s">
        <v>52</v>
      </c>
      <c r="F96" s="3" t="s">
        <v>53</v>
      </c>
      <c r="G96" s="3" t="s">
        <v>19</v>
      </c>
      <c r="H96" s="3">
        <v>3</v>
      </c>
      <c r="I96" s="3">
        <v>149.99</v>
      </c>
      <c r="J96" s="3" t="s">
        <v>34</v>
      </c>
      <c r="K96" s="3" t="s">
        <v>63</v>
      </c>
      <c r="L96" s="3" t="s">
        <v>22</v>
      </c>
      <c r="M96" s="4">
        <v>44574</v>
      </c>
      <c r="N96" s="3">
        <v>449.97</v>
      </c>
      <c r="O96">
        <f t="shared" ca="1" si="1"/>
        <v>0</v>
      </c>
    </row>
    <row r="97" spans="1:15" ht="15" thickBot="1" x14ac:dyDescent="0.35">
      <c r="A97" s="3" t="s">
        <v>224</v>
      </c>
      <c r="B97" s="4">
        <v>45526</v>
      </c>
      <c r="C97" s="3" t="s">
        <v>102</v>
      </c>
      <c r="D97" s="3" t="s">
        <v>103</v>
      </c>
      <c r="E97" s="3" t="s">
        <v>44</v>
      </c>
      <c r="F97" s="3" t="s">
        <v>45</v>
      </c>
      <c r="G97" s="3" t="s">
        <v>46</v>
      </c>
      <c r="H97" s="3">
        <v>5</v>
      </c>
      <c r="I97" s="3">
        <v>149.99</v>
      </c>
      <c r="J97" s="3" t="s">
        <v>26</v>
      </c>
      <c r="K97" s="3" t="s">
        <v>21</v>
      </c>
      <c r="L97" s="3" t="s">
        <v>22</v>
      </c>
      <c r="M97" s="4">
        <v>45310</v>
      </c>
      <c r="N97" s="3">
        <v>749.95</v>
      </c>
      <c r="O97">
        <f t="shared" ca="1" si="1"/>
        <v>0</v>
      </c>
    </row>
    <row r="98" spans="1:15" ht="15" thickBot="1" x14ac:dyDescent="0.35">
      <c r="A98" s="3" t="s">
        <v>225</v>
      </c>
      <c r="B98" s="4">
        <v>45528</v>
      </c>
      <c r="C98" s="3" t="s">
        <v>226</v>
      </c>
      <c r="D98" s="3" t="s">
        <v>227</v>
      </c>
      <c r="E98" s="3" t="s">
        <v>114</v>
      </c>
      <c r="F98" s="3" t="s">
        <v>115</v>
      </c>
      <c r="G98" s="3" t="s">
        <v>33</v>
      </c>
      <c r="H98" s="3">
        <v>3</v>
      </c>
      <c r="I98" s="3">
        <v>79.989999999999995</v>
      </c>
      <c r="J98" s="3" t="s">
        <v>20</v>
      </c>
      <c r="K98" s="3" t="s">
        <v>21</v>
      </c>
      <c r="L98" s="3" t="s">
        <v>27</v>
      </c>
      <c r="M98" s="4">
        <v>44779</v>
      </c>
      <c r="N98" s="3">
        <v>239.97</v>
      </c>
      <c r="O98">
        <f t="shared" ca="1" si="1"/>
        <v>0</v>
      </c>
    </row>
    <row r="99" spans="1:15" ht="15" thickBot="1" x14ac:dyDescent="0.35">
      <c r="A99" s="3" t="s">
        <v>228</v>
      </c>
      <c r="B99" s="4">
        <v>45528</v>
      </c>
      <c r="C99" s="3" t="s">
        <v>144</v>
      </c>
      <c r="D99" s="3" t="s">
        <v>145</v>
      </c>
      <c r="E99" s="3" t="s">
        <v>17</v>
      </c>
      <c r="F99" s="3" t="s">
        <v>18</v>
      </c>
      <c r="G99" s="3" t="s">
        <v>19</v>
      </c>
      <c r="H99" s="3">
        <v>2</v>
      </c>
      <c r="I99" s="3">
        <v>249.99</v>
      </c>
      <c r="J99" s="3" t="s">
        <v>20</v>
      </c>
      <c r="K99" s="3" t="s">
        <v>35</v>
      </c>
      <c r="L99" s="3" t="s">
        <v>36</v>
      </c>
      <c r="M99" s="4">
        <v>44572</v>
      </c>
      <c r="N99" s="3">
        <v>499.98</v>
      </c>
      <c r="O99">
        <f t="shared" ca="1" si="1"/>
        <v>0</v>
      </c>
    </row>
    <row r="100" spans="1:15" ht="15" thickBot="1" x14ac:dyDescent="0.35">
      <c r="A100" s="3" t="s">
        <v>229</v>
      </c>
      <c r="B100" s="4">
        <v>45532</v>
      </c>
      <c r="C100" s="3" t="s">
        <v>196</v>
      </c>
      <c r="D100" s="3" t="s">
        <v>197</v>
      </c>
      <c r="E100" s="3" t="s">
        <v>80</v>
      </c>
      <c r="F100" s="3" t="s">
        <v>81</v>
      </c>
      <c r="G100" s="3" t="s">
        <v>19</v>
      </c>
      <c r="H100" s="3">
        <v>1</v>
      </c>
      <c r="I100" s="3">
        <v>699.99</v>
      </c>
      <c r="J100" s="3" t="s">
        <v>20</v>
      </c>
      <c r="K100" s="3" t="s">
        <v>21</v>
      </c>
      <c r="L100" s="3" t="s">
        <v>27</v>
      </c>
      <c r="M100" s="4">
        <v>44497</v>
      </c>
      <c r="N100" s="3">
        <v>699.99</v>
      </c>
      <c r="O100">
        <f t="shared" ca="1" si="1"/>
        <v>0</v>
      </c>
    </row>
    <row r="101" spans="1:15" ht="15" thickBot="1" x14ac:dyDescent="0.35">
      <c r="A101" s="3" t="s">
        <v>230</v>
      </c>
      <c r="B101" s="4">
        <v>45532</v>
      </c>
      <c r="C101" s="3" t="s">
        <v>231</v>
      </c>
      <c r="D101" s="3" t="s">
        <v>232</v>
      </c>
      <c r="E101" s="3" t="s">
        <v>52</v>
      </c>
      <c r="F101" s="3" t="s">
        <v>53</v>
      </c>
      <c r="G101" s="3" t="s">
        <v>19</v>
      </c>
      <c r="H101" s="3">
        <v>3</v>
      </c>
      <c r="I101" s="3">
        <v>149.99</v>
      </c>
      <c r="J101" s="3" t="s">
        <v>20</v>
      </c>
      <c r="K101" s="3" t="s">
        <v>50</v>
      </c>
      <c r="L101" s="3" t="s">
        <v>27</v>
      </c>
      <c r="M101" s="4">
        <v>45212</v>
      </c>
      <c r="N101" s="3">
        <v>449.97</v>
      </c>
      <c r="O101">
        <f t="shared" ca="1" si="1"/>
        <v>0</v>
      </c>
    </row>
    <row r="102" spans="1:15" ht="15" thickBot="1" x14ac:dyDescent="0.35">
      <c r="A102" s="3" t="s">
        <v>233</v>
      </c>
      <c r="B102" s="4">
        <v>45534</v>
      </c>
      <c r="C102" s="3" t="s">
        <v>234</v>
      </c>
      <c r="D102" s="3" t="s">
        <v>235</v>
      </c>
      <c r="E102" s="3" t="s">
        <v>80</v>
      </c>
      <c r="F102" s="3" t="s">
        <v>81</v>
      </c>
      <c r="G102" s="3" t="s">
        <v>19</v>
      </c>
      <c r="H102" s="3">
        <v>2</v>
      </c>
      <c r="I102" s="3">
        <v>699.99</v>
      </c>
      <c r="J102" s="3" t="s">
        <v>26</v>
      </c>
      <c r="K102" s="3" t="s">
        <v>40</v>
      </c>
      <c r="L102" s="3" t="s">
        <v>27</v>
      </c>
      <c r="M102" s="4">
        <v>44421</v>
      </c>
      <c r="N102" s="3">
        <v>1399.98</v>
      </c>
      <c r="O102">
        <f t="shared" ca="1" si="1"/>
        <v>0</v>
      </c>
    </row>
    <row r="103" spans="1:15" ht="15" thickBot="1" x14ac:dyDescent="0.35">
      <c r="A103" s="3" t="s">
        <v>236</v>
      </c>
      <c r="B103" s="4">
        <v>45537</v>
      </c>
      <c r="C103" s="3" t="s">
        <v>231</v>
      </c>
      <c r="D103" s="3" t="s">
        <v>232</v>
      </c>
      <c r="E103" s="3" t="s">
        <v>17</v>
      </c>
      <c r="F103" s="3" t="s">
        <v>18</v>
      </c>
      <c r="G103" s="3" t="s">
        <v>19</v>
      </c>
      <c r="H103" s="3">
        <v>1</v>
      </c>
      <c r="I103" s="3">
        <v>249.99</v>
      </c>
      <c r="J103" s="3" t="s">
        <v>26</v>
      </c>
      <c r="K103" s="3" t="s">
        <v>50</v>
      </c>
      <c r="L103" s="3" t="s">
        <v>27</v>
      </c>
      <c r="M103" s="4">
        <v>44685</v>
      </c>
      <c r="N103" s="3">
        <v>249.99</v>
      </c>
      <c r="O103">
        <f t="shared" ca="1" si="1"/>
        <v>0</v>
      </c>
    </row>
    <row r="104" spans="1:15" ht="15" thickBot="1" x14ac:dyDescent="0.35">
      <c r="A104" s="3" t="s">
        <v>237</v>
      </c>
      <c r="B104" s="4">
        <v>45537</v>
      </c>
      <c r="C104" s="3" t="s">
        <v>15</v>
      </c>
      <c r="D104" s="3" t="s">
        <v>16</v>
      </c>
      <c r="E104" s="3" t="s">
        <v>17</v>
      </c>
      <c r="F104" s="3" t="s">
        <v>18</v>
      </c>
      <c r="G104" s="3" t="s">
        <v>19</v>
      </c>
      <c r="H104" s="3">
        <v>1</v>
      </c>
      <c r="I104" s="3">
        <v>249.99</v>
      </c>
      <c r="J104" s="3" t="s">
        <v>57</v>
      </c>
      <c r="K104" s="3" t="s">
        <v>40</v>
      </c>
      <c r="L104" s="3" t="s">
        <v>27</v>
      </c>
      <c r="M104" s="4">
        <v>45332</v>
      </c>
      <c r="N104" s="3">
        <v>249.99</v>
      </c>
      <c r="O104">
        <f t="shared" ca="1" si="1"/>
        <v>0</v>
      </c>
    </row>
    <row r="105" spans="1:15" ht="15" thickBot="1" x14ac:dyDescent="0.35">
      <c r="A105" s="3" t="s">
        <v>238</v>
      </c>
      <c r="B105" s="4">
        <v>45538</v>
      </c>
      <c r="C105" s="3" t="s">
        <v>226</v>
      </c>
      <c r="D105" s="3" t="s">
        <v>227</v>
      </c>
      <c r="E105" s="3" t="s">
        <v>80</v>
      </c>
      <c r="F105" s="3" t="s">
        <v>81</v>
      </c>
      <c r="G105" s="3" t="s">
        <v>19</v>
      </c>
      <c r="H105" s="3">
        <v>2</v>
      </c>
      <c r="I105" s="3">
        <v>699.99</v>
      </c>
      <c r="J105" s="3" t="s">
        <v>57</v>
      </c>
      <c r="K105" s="3" t="s">
        <v>21</v>
      </c>
      <c r="L105" s="3" t="s">
        <v>27</v>
      </c>
      <c r="M105" s="4">
        <v>44870</v>
      </c>
      <c r="N105" s="3">
        <v>1399.98</v>
      </c>
      <c r="O105">
        <f t="shared" ca="1" si="1"/>
        <v>0</v>
      </c>
    </row>
    <row r="106" spans="1:15" ht="15" thickBot="1" x14ac:dyDescent="0.35">
      <c r="A106" s="3" t="s">
        <v>239</v>
      </c>
      <c r="B106" s="4">
        <v>45541</v>
      </c>
      <c r="C106" s="3" t="s">
        <v>138</v>
      </c>
      <c r="D106" s="3" t="s">
        <v>139</v>
      </c>
      <c r="E106" s="3" t="s">
        <v>31</v>
      </c>
      <c r="F106" s="3" t="s">
        <v>32</v>
      </c>
      <c r="G106" s="3" t="s">
        <v>33</v>
      </c>
      <c r="H106" s="3">
        <v>3</v>
      </c>
      <c r="I106" s="3">
        <v>59.99</v>
      </c>
      <c r="J106" s="3" t="s">
        <v>26</v>
      </c>
      <c r="K106" s="3" t="s">
        <v>21</v>
      </c>
      <c r="L106" s="3" t="s">
        <v>27</v>
      </c>
      <c r="M106" s="4">
        <v>44717</v>
      </c>
      <c r="N106" s="3">
        <v>179.97</v>
      </c>
      <c r="O106">
        <f t="shared" ca="1" si="1"/>
        <v>0</v>
      </c>
    </row>
    <row r="107" spans="1:15" ht="15" thickBot="1" x14ac:dyDescent="0.35">
      <c r="A107" s="3" t="s">
        <v>240</v>
      </c>
      <c r="B107" s="4">
        <v>45544</v>
      </c>
      <c r="C107" s="3" t="s">
        <v>132</v>
      </c>
      <c r="D107" s="3" t="s">
        <v>133</v>
      </c>
      <c r="E107" s="3" t="s">
        <v>31</v>
      </c>
      <c r="F107" s="3" t="s">
        <v>32</v>
      </c>
      <c r="G107" s="3" t="s">
        <v>33</v>
      </c>
      <c r="H107" s="3">
        <v>3</v>
      </c>
      <c r="I107" s="3">
        <v>59.99</v>
      </c>
      <c r="J107" s="3" t="s">
        <v>34</v>
      </c>
      <c r="K107" s="3" t="s">
        <v>63</v>
      </c>
      <c r="L107" s="3" t="s">
        <v>36</v>
      </c>
      <c r="M107" s="4">
        <v>44748</v>
      </c>
      <c r="N107" s="3">
        <v>179.97</v>
      </c>
      <c r="O107">
        <f t="shared" ca="1" si="1"/>
        <v>0</v>
      </c>
    </row>
    <row r="108" spans="1:15" ht="15" thickBot="1" x14ac:dyDescent="0.35">
      <c r="A108" s="3" t="s">
        <v>241</v>
      </c>
      <c r="B108" s="4">
        <v>45544</v>
      </c>
      <c r="C108" s="3" t="s">
        <v>141</v>
      </c>
      <c r="D108" s="3" t="s">
        <v>142</v>
      </c>
      <c r="E108" s="3" t="s">
        <v>114</v>
      </c>
      <c r="F108" s="3" t="s">
        <v>115</v>
      </c>
      <c r="G108" s="3" t="s">
        <v>33</v>
      </c>
      <c r="H108" s="3">
        <v>4</v>
      </c>
      <c r="I108" s="3">
        <v>79.989999999999995</v>
      </c>
      <c r="J108" s="3" t="s">
        <v>20</v>
      </c>
      <c r="K108" s="3" t="s">
        <v>40</v>
      </c>
      <c r="L108" s="3" t="s">
        <v>22</v>
      </c>
      <c r="M108" s="4">
        <v>44530</v>
      </c>
      <c r="N108" s="3">
        <v>319.95999999999998</v>
      </c>
      <c r="O108">
        <f t="shared" ca="1" si="1"/>
        <v>0</v>
      </c>
    </row>
    <row r="109" spans="1:15" ht="15" thickBot="1" x14ac:dyDescent="0.35">
      <c r="A109" s="3" t="s">
        <v>242</v>
      </c>
      <c r="B109" s="4">
        <v>45545</v>
      </c>
      <c r="C109" s="3" t="s">
        <v>55</v>
      </c>
      <c r="D109" s="3" t="s">
        <v>56</v>
      </c>
      <c r="E109" s="3" t="s">
        <v>114</v>
      </c>
      <c r="F109" s="3" t="s">
        <v>115</v>
      </c>
      <c r="G109" s="3" t="s">
        <v>33</v>
      </c>
      <c r="H109" s="3">
        <v>1</v>
      </c>
      <c r="I109" s="3">
        <v>79.989999999999995</v>
      </c>
      <c r="J109" s="3" t="s">
        <v>20</v>
      </c>
      <c r="K109" s="3" t="s">
        <v>50</v>
      </c>
      <c r="L109" s="3" t="s">
        <v>22</v>
      </c>
      <c r="M109" s="4">
        <v>44693</v>
      </c>
      <c r="N109" s="3">
        <v>79.989999999999995</v>
      </c>
      <c r="O109">
        <f t="shared" ca="1" si="1"/>
        <v>0</v>
      </c>
    </row>
    <row r="110" spans="1:15" ht="15" thickBot="1" x14ac:dyDescent="0.35">
      <c r="A110" s="3" t="s">
        <v>243</v>
      </c>
      <c r="B110" s="4">
        <v>45547</v>
      </c>
      <c r="C110" s="3" t="s">
        <v>48</v>
      </c>
      <c r="D110" s="3" t="s">
        <v>49</v>
      </c>
      <c r="E110" s="3" t="s">
        <v>105</v>
      </c>
      <c r="F110" s="3" t="s">
        <v>106</v>
      </c>
      <c r="G110" s="3" t="s">
        <v>46</v>
      </c>
      <c r="H110" s="3">
        <v>3</v>
      </c>
      <c r="I110" s="3">
        <v>299.99</v>
      </c>
      <c r="J110" s="3" t="s">
        <v>26</v>
      </c>
      <c r="K110" s="3" t="s">
        <v>21</v>
      </c>
      <c r="L110" s="3" t="s">
        <v>27</v>
      </c>
      <c r="M110" s="4">
        <v>44494</v>
      </c>
      <c r="N110" s="3">
        <v>899.97</v>
      </c>
      <c r="O110">
        <f t="shared" ca="1" si="1"/>
        <v>0</v>
      </c>
    </row>
    <row r="111" spans="1:15" ht="15" thickBot="1" x14ac:dyDescent="0.35">
      <c r="A111" s="3" t="s">
        <v>244</v>
      </c>
      <c r="B111" s="4">
        <v>45548</v>
      </c>
      <c r="C111" s="3" t="s">
        <v>38</v>
      </c>
      <c r="D111" s="3" t="s">
        <v>39</v>
      </c>
      <c r="E111" s="3" t="s">
        <v>117</v>
      </c>
      <c r="F111" s="3" t="s">
        <v>118</v>
      </c>
      <c r="G111" s="3" t="s">
        <v>19</v>
      </c>
      <c r="H111" s="3">
        <v>2</v>
      </c>
      <c r="I111" s="3">
        <v>89.99</v>
      </c>
      <c r="J111" s="3" t="s">
        <v>26</v>
      </c>
      <c r="K111" s="3" t="s">
        <v>35</v>
      </c>
      <c r="L111" s="3" t="s">
        <v>27</v>
      </c>
      <c r="M111" s="4">
        <v>44641</v>
      </c>
      <c r="N111" s="3">
        <v>179.98</v>
      </c>
      <c r="O111">
        <f t="shared" ca="1" si="1"/>
        <v>0</v>
      </c>
    </row>
    <row r="112" spans="1:15" ht="15" thickBot="1" x14ac:dyDescent="0.35">
      <c r="A112" s="3" t="s">
        <v>245</v>
      </c>
      <c r="B112" s="4">
        <v>45550</v>
      </c>
      <c r="C112" s="3" t="s">
        <v>246</v>
      </c>
      <c r="D112" s="3" t="s">
        <v>247</v>
      </c>
      <c r="E112" s="3" t="s">
        <v>52</v>
      </c>
      <c r="F112" s="3" t="s">
        <v>53</v>
      </c>
      <c r="G112" s="3" t="s">
        <v>19</v>
      </c>
      <c r="H112" s="3">
        <v>4</v>
      </c>
      <c r="I112" s="3">
        <v>149.99</v>
      </c>
      <c r="J112" s="3" t="s">
        <v>20</v>
      </c>
      <c r="K112" s="3" t="s">
        <v>40</v>
      </c>
      <c r="L112" s="3" t="s">
        <v>22</v>
      </c>
      <c r="M112" s="4">
        <v>44909</v>
      </c>
      <c r="N112" s="3">
        <v>599.96</v>
      </c>
      <c r="O112">
        <f t="shared" ca="1" si="1"/>
        <v>0</v>
      </c>
    </row>
    <row r="113" spans="1:15" ht="15" thickBot="1" x14ac:dyDescent="0.35">
      <c r="A113" s="3" t="s">
        <v>248</v>
      </c>
      <c r="B113" s="4">
        <v>45551</v>
      </c>
      <c r="C113" s="3" t="s">
        <v>65</v>
      </c>
      <c r="D113" s="3" t="s">
        <v>66</v>
      </c>
      <c r="E113" s="3" t="s">
        <v>17</v>
      </c>
      <c r="F113" s="3" t="s">
        <v>18</v>
      </c>
      <c r="G113" s="3" t="s">
        <v>19</v>
      </c>
      <c r="H113" s="3">
        <v>2</v>
      </c>
      <c r="I113" s="3">
        <v>249.99</v>
      </c>
      <c r="J113" s="3" t="s">
        <v>34</v>
      </c>
      <c r="K113" s="3" t="s">
        <v>35</v>
      </c>
      <c r="L113" s="3" t="s">
        <v>22</v>
      </c>
      <c r="M113" s="4">
        <v>44993</v>
      </c>
      <c r="N113" s="3">
        <v>499.98</v>
      </c>
      <c r="O113">
        <f t="shared" ca="1" si="1"/>
        <v>0</v>
      </c>
    </row>
    <row r="114" spans="1:15" ht="15" thickBot="1" x14ac:dyDescent="0.35">
      <c r="A114" s="3" t="s">
        <v>249</v>
      </c>
      <c r="B114" s="4">
        <v>45551</v>
      </c>
      <c r="C114" s="3" t="s">
        <v>154</v>
      </c>
      <c r="D114" s="3" t="s">
        <v>155</v>
      </c>
      <c r="E114" s="3" t="s">
        <v>126</v>
      </c>
      <c r="F114" s="3" t="s">
        <v>127</v>
      </c>
      <c r="G114" s="3" t="s">
        <v>46</v>
      </c>
      <c r="H114" s="3">
        <v>4</v>
      </c>
      <c r="I114" s="3">
        <v>199.99</v>
      </c>
      <c r="J114" s="3" t="s">
        <v>57</v>
      </c>
      <c r="K114" s="3" t="s">
        <v>63</v>
      </c>
      <c r="L114" s="3" t="s">
        <v>22</v>
      </c>
      <c r="M114" s="4">
        <v>44458</v>
      </c>
      <c r="N114" s="3">
        <v>799.96</v>
      </c>
      <c r="O114">
        <f t="shared" ca="1" si="1"/>
        <v>0</v>
      </c>
    </row>
    <row r="115" spans="1:15" ht="15" thickBot="1" x14ac:dyDescent="0.35">
      <c r="A115" s="3" t="s">
        <v>250</v>
      </c>
      <c r="B115" s="4">
        <v>45554</v>
      </c>
      <c r="C115" s="3" t="s">
        <v>147</v>
      </c>
      <c r="D115" s="3" t="s">
        <v>148</v>
      </c>
      <c r="E115" s="3" t="s">
        <v>117</v>
      </c>
      <c r="F115" s="3" t="s">
        <v>118</v>
      </c>
      <c r="G115" s="3" t="s">
        <v>19</v>
      </c>
      <c r="H115" s="3">
        <v>5</v>
      </c>
      <c r="I115" s="3">
        <v>89.99</v>
      </c>
      <c r="J115" s="3" t="s">
        <v>26</v>
      </c>
      <c r="K115" s="3" t="s">
        <v>63</v>
      </c>
      <c r="L115" s="3" t="s">
        <v>27</v>
      </c>
      <c r="M115" s="4">
        <v>44446</v>
      </c>
      <c r="N115" s="3">
        <v>449.95</v>
      </c>
      <c r="O115">
        <f t="shared" ca="1" si="1"/>
        <v>0</v>
      </c>
    </row>
    <row r="116" spans="1:15" ht="15" thickBot="1" x14ac:dyDescent="0.35">
      <c r="A116" s="3" t="s">
        <v>251</v>
      </c>
      <c r="B116" s="4">
        <v>45554</v>
      </c>
      <c r="C116" s="3" t="s">
        <v>252</v>
      </c>
      <c r="D116" s="3" t="s">
        <v>253</v>
      </c>
      <c r="E116" s="3" t="s">
        <v>52</v>
      </c>
      <c r="F116" s="3" t="s">
        <v>53</v>
      </c>
      <c r="G116" s="3" t="s">
        <v>19</v>
      </c>
      <c r="H116" s="3">
        <v>1</v>
      </c>
      <c r="I116" s="3">
        <v>149.99</v>
      </c>
      <c r="J116" s="3" t="s">
        <v>34</v>
      </c>
      <c r="K116" s="3" t="s">
        <v>63</v>
      </c>
      <c r="L116" s="3" t="s">
        <v>36</v>
      </c>
      <c r="M116" s="4">
        <v>44482</v>
      </c>
      <c r="N116" s="3">
        <v>149.99</v>
      </c>
      <c r="O116">
        <f t="shared" ca="1" si="1"/>
        <v>0</v>
      </c>
    </row>
    <row r="117" spans="1:15" ht="15" thickBot="1" x14ac:dyDescent="0.35">
      <c r="A117" s="3" t="s">
        <v>254</v>
      </c>
      <c r="B117" s="4">
        <v>45554</v>
      </c>
      <c r="C117" s="3" t="s">
        <v>72</v>
      </c>
      <c r="D117" s="3" t="s">
        <v>73</v>
      </c>
      <c r="E117" s="3" t="s">
        <v>80</v>
      </c>
      <c r="F117" s="3" t="s">
        <v>81</v>
      </c>
      <c r="G117" s="3" t="s">
        <v>19</v>
      </c>
      <c r="H117" s="3">
        <v>4</v>
      </c>
      <c r="I117" s="3">
        <v>699.99</v>
      </c>
      <c r="J117" s="3" t="s">
        <v>34</v>
      </c>
      <c r="K117" s="3" t="s">
        <v>35</v>
      </c>
      <c r="L117" s="3" t="s">
        <v>22</v>
      </c>
      <c r="M117" s="4">
        <v>44618</v>
      </c>
      <c r="N117" s="3">
        <v>2799.96</v>
      </c>
      <c r="O117">
        <f t="shared" ca="1" si="1"/>
        <v>0</v>
      </c>
    </row>
    <row r="118" spans="1:15" ht="15" thickBot="1" x14ac:dyDescent="0.35">
      <c r="A118" s="3" t="s">
        <v>255</v>
      </c>
      <c r="B118" s="4">
        <v>45559</v>
      </c>
      <c r="C118" s="3" t="s">
        <v>234</v>
      </c>
      <c r="D118" s="3" t="s">
        <v>235</v>
      </c>
      <c r="E118" s="3" t="s">
        <v>61</v>
      </c>
      <c r="F118" s="3" t="s">
        <v>62</v>
      </c>
      <c r="G118" s="3" t="s">
        <v>19</v>
      </c>
      <c r="H118" s="3">
        <v>3</v>
      </c>
      <c r="I118" s="3">
        <v>899.99</v>
      </c>
      <c r="J118" s="3" t="s">
        <v>26</v>
      </c>
      <c r="K118" s="3" t="s">
        <v>40</v>
      </c>
      <c r="L118" s="3" t="s">
        <v>36</v>
      </c>
      <c r="M118" s="4">
        <v>45157</v>
      </c>
      <c r="N118" s="3">
        <v>2699.97</v>
      </c>
      <c r="O118">
        <f t="shared" ca="1" si="1"/>
        <v>0</v>
      </c>
    </row>
    <row r="119" spans="1:15" ht="15" thickBot="1" x14ac:dyDescent="0.35">
      <c r="A119" s="3" t="s">
        <v>256</v>
      </c>
      <c r="B119" s="4">
        <v>45560</v>
      </c>
      <c r="C119" s="3" t="s">
        <v>112</v>
      </c>
      <c r="D119" s="3" t="s">
        <v>113</v>
      </c>
      <c r="E119" s="3" t="s">
        <v>44</v>
      </c>
      <c r="F119" s="3" t="s">
        <v>45</v>
      </c>
      <c r="G119" s="3" t="s">
        <v>46</v>
      </c>
      <c r="H119" s="3">
        <v>3</v>
      </c>
      <c r="I119" s="3">
        <v>149.99</v>
      </c>
      <c r="J119" s="3" t="s">
        <v>34</v>
      </c>
      <c r="K119" s="3" t="s">
        <v>63</v>
      </c>
      <c r="L119" s="3" t="s">
        <v>22</v>
      </c>
      <c r="M119" s="4">
        <v>44886</v>
      </c>
      <c r="N119" s="3">
        <v>449.97</v>
      </c>
      <c r="O119">
        <f t="shared" ca="1" si="1"/>
        <v>0</v>
      </c>
    </row>
    <row r="120" spans="1:15" ht="15" thickBot="1" x14ac:dyDescent="0.35">
      <c r="A120" s="3" t="s">
        <v>257</v>
      </c>
      <c r="B120" s="4">
        <v>45563</v>
      </c>
      <c r="C120" s="3" t="s">
        <v>99</v>
      </c>
      <c r="D120" s="3" t="s">
        <v>100</v>
      </c>
      <c r="E120" s="3" t="s">
        <v>105</v>
      </c>
      <c r="F120" s="3" t="s">
        <v>106</v>
      </c>
      <c r="G120" s="3" t="s">
        <v>46</v>
      </c>
      <c r="H120" s="3">
        <v>2</v>
      </c>
      <c r="I120" s="3">
        <v>299.99</v>
      </c>
      <c r="J120" s="3" t="s">
        <v>57</v>
      </c>
      <c r="K120" s="3" t="s">
        <v>21</v>
      </c>
      <c r="L120" s="3" t="s">
        <v>22</v>
      </c>
      <c r="M120" s="4">
        <v>44569</v>
      </c>
      <c r="N120" s="3">
        <v>599.98</v>
      </c>
      <c r="O120">
        <f t="shared" ca="1" si="1"/>
        <v>0</v>
      </c>
    </row>
    <row r="121" spans="1:15" ht="15" thickBot="1" x14ac:dyDescent="0.35">
      <c r="A121" s="3" t="s">
        <v>258</v>
      </c>
      <c r="B121" s="4">
        <v>45564</v>
      </c>
      <c r="C121" s="3" t="s">
        <v>259</v>
      </c>
      <c r="D121" s="3" t="s">
        <v>260</v>
      </c>
      <c r="E121" s="3" t="s">
        <v>126</v>
      </c>
      <c r="F121" s="3" t="s">
        <v>127</v>
      </c>
      <c r="G121" s="3" t="s">
        <v>46</v>
      </c>
      <c r="H121" s="3">
        <v>1</v>
      </c>
      <c r="I121" s="3">
        <v>199.99</v>
      </c>
      <c r="J121" s="3" t="s">
        <v>57</v>
      </c>
      <c r="K121" s="3" t="s">
        <v>63</v>
      </c>
      <c r="L121" s="3" t="s">
        <v>36</v>
      </c>
      <c r="M121" s="4">
        <v>44953</v>
      </c>
      <c r="N121" s="3">
        <v>199.99</v>
      </c>
      <c r="O121">
        <f t="shared" ca="1" si="1"/>
        <v>0</v>
      </c>
    </row>
    <row r="122" spans="1:15" ht="15" thickBot="1" x14ac:dyDescent="0.35">
      <c r="A122" s="3" t="s">
        <v>261</v>
      </c>
      <c r="B122" s="4">
        <v>45566</v>
      </c>
      <c r="C122" s="3" t="s">
        <v>42</v>
      </c>
      <c r="D122" s="3" t="s">
        <v>43</v>
      </c>
      <c r="E122" s="3" t="s">
        <v>105</v>
      </c>
      <c r="F122" s="3" t="s">
        <v>106</v>
      </c>
      <c r="G122" s="3" t="s">
        <v>46</v>
      </c>
      <c r="H122" s="3">
        <v>4</v>
      </c>
      <c r="I122" s="3">
        <v>299.99</v>
      </c>
      <c r="J122" s="3" t="s">
        <v>20</v>
      </c>
      <c r="K122" s="3" t="s">
        <v>21</v>
      </c>
      <c r="L122" s="3" t="s">
        <v>27</v>
      </c>
      <c r="M122" s="4">
        <v>44460</v>
      </c>
      <c r="N122" s="3">
        <v>1199.96</v>
      </c>
      <c r="O122">
        <f t="shared" ca="1" si="1"/>
        <v>0</v>
      </c>
    </row>
    <row r="123" spans="1:15" ht="15" thickBot="1" x14ac:dyDescent="0.35">
      <c r="A123" s="3" t="s">
        <v>262</v>
      </c>
      <c r="B123" s="4">
        <v>45572</v>
      </c>
      <c r="C123" s="3" t="s">
        <v>89</v>
      </c>
      <c r="D123" s="3" t="s">
        <v>90</v>
      </c>
      <c r="E123" s="3" t="s">
        <v>31</v>
      </c>
      <c r="F123" s="3" t="s">
        <v>32</v>
      </c>
      <c r="G123" s="3" t="s">
        <v>33</v>
      </c>
      <c r="H123" s="3">
        <v>2</v>
      </c>
      <c r="I123" s="3">
        <v>59.99</v>
      </c>
      <c r="J123" s="3" t="s">
        <v>26</v>
      </c>
      <c r="K123" s="3" t="s">
        <v>21</v>
      </c>
      <c r="L123" s="3" t="s">
        <v>22</v>
      </c>
      <c r="M123" s="4">
        <v>44579</v>
      </c>
      <c r="N123" s="3">
        <v>119.98</v>
      </c>
      <c r="O123">
        <f t="shared" ca="1" si="1"/>
        <v>0</v>
      </c>
    </row>
    <row r="124" spans="1:15" ht="15" thickBot="1" x14ac:dyDescent="0.35">
      <c r="A124" s="3" t="s">
        <v>263</v>
      </c>
      <c r="B124" s="4">
        <v>45572</v>
      </c>
      <c r="C124" s="3" t="s">
        <v>234</v>
      </c>
      <c r="D124" s="3" t="s">
        <v>235</v>
      </c>
      <c r="E124" s="3" t="s">
        <v>52</v>
      </c>
      <c r="F124" s="3" t="s">
        <v>53</v>
      </c>
      <c r="G124" s="3" t="s">
        <v>19</v>
      </c>
      <c r="H124" s="3">
        <v>4</v>
      </c>
      <c r="I124" s="3">
        <v>149.99</v>
      </c>
      <c r="J124" s="3" t="s">
        <v>26</v>
      </c>
      <c r="K124" s="3" t="s">
        <v>40</v>
      </c>
      <c r="L124" s="3" t="s">
        <v>27</v>
      </c>
      <c r="M124" s="4">
        <v>45076</v>
      </c>
      <c r="N124" s="3">
        <v>599.96</v>
      </c>
      <c r="O124">
        <f t="shared" ca="1" si="1"/>
        <v>0</v>
      </c>
    </row>
    <row r="125" spans="1:15" ht="15" thickBot="1" x14ac:dyDescent="0.35">
      <c r="A125" s="3" t="s">
        <v>264</v>
      </c>
      <c r="B125" s="4">
        <v>45573</v>
      </c>
      <c r="C125" s="3" t="s">
        <v>211</v>
      </c>
      <c r="D125" s="3" t="s">
        <v>212</v>
      </c>
      <c r="E125" s="3" t="s">
        <v>80</v>
      </c>
      <c r="F125" s="3" t="s">
        <v>81</v>
      </c>
      <c r="G125" s="3" t="s">
        <v>19</v>
      </c>
      <c r="H125" s="3">
        <v>2</v>
      </c>
      <c r="I125" s="3">
        <v>699.99</v>
      </c>
      <c r="J125" s="3" t="s">
        <v>57</v>
      </c>
      <c r="K125" s="3" t="s">
        <v>63</v>
      </c>
      <c r="L125" s="3" t="s">
        <v>27</v>
      </c>
      <c r="M125" s="4">
        <v>45274</v>
      </c>
      <c r="N125" s="3">
        <v>1399.98</v>
      </c>
      <c r="O125">
        <f t="shared" ca="1" si="1"/>
        <v>0</v>
      </c>
    </row>
    <row r="126" spans="1:15" ht="15" thickBot="1" x14ac:dyDescent="0.35">
      <c r="A126" s="3" t="s">
        <v>265</v>
      </c>
      <c r="B126" s="4">
        <v>45573</v>
      </c>
      <c r="C126" s="3" t="s">
        <v>231</v>
      </c>
      <c r="D126" s="3" t="s">
        <v>232</v>
      </c>
      <c r="E126" s="3" t="s">
        <v>44</v>
      </c>
      <c r="F126" s="3" t="s">
        <v>45</v>
      </c>
      <c r="G126" s="3" t="s">
        <v>46</v>
      </c>
      <c r="H126" s="3">
        <v>3</v>
      </c>
      <c r="I126" s="3">
        <v>149.99</v>
      </c>
      <c r="J126" s="3" t="s">
        <v>26</v>
      </c>
      <c r="K126" s="3" t="s">
        <v>35</v>
      </c>
      <c r="L126" s="3" t="s">
        <v>36</v>
      </c>
      <c r="M126" s="4">
        <v>44940</v>
      </c>
      <c r="N126" s="3">
        <v>449.97</v>
      </c>
      <c r="O126">
        <f t="shared" ca="1" si="1"/>
        <v>0</v>
      </c>
    </row>
    <row r="127" spans="1:15" ht="15" thickBot="1" x14ac:dyDescent="0.35">
      <c r="A127" s="3" t="s">
        <v>266</v>
      </c>
      <c r="B127" s="4">
        <v>45576</v>
      </c>
      <c r="C127" s="3" t="s">
        <v>147</v>
      </c>
      <c r="D127" s="3" t="s">
        <v>148</v>
      </c>
      <c r="E127" s="3" t="s">
        <v>105</v>
      </c>
      <c r="F127" s="3" t="s">
        <v>106</v>
      </c>
      <c r="G127" s="3" t="s">
        <v>46</v>
      </c>
      <c r="H127" s="3">
        <v>3</v>
      </c>
      <c r="I127" s="3">
        <v>299.99</v>
      </c>
      <c r="J127" s="3" t="s">
        <v>26</v>
      </c>
      <c r="K127" s="3" t="s">
        <v>21</v>
      </c>
      <c r="L127" s="3" t="s">
        <v>36</v>
      </c>
      <c r="M127" s="4">
        <v>45174</v>
      </c>
      <c r="N127" s="3">
        <v>899.97</v>
      </c>
      <c r="O127">
        <f t="shared" ca="1" si="1"/>
        <v>0</v>
      </c>
    </row>
    <row r="128" spans="1:15" ht="15" thickBot="1" x14ac:dyDescent="0.35">
      <c r="A128" s="3" t="s">
        <v>267</v>
      </c>
      <c r="B128" s="4">
        <v>45579</v>
      </c>
      <c r="C128" s="3" t="s">
        <v>83</v>
      </c>
      <c r="D128" s="3" t="s">
        <v>84</v>
      </c>
      <c r="E128" s="3" t="s">
        <v>61</v>
      </c>
      <c r="F128" s="3" t="s">
        <v>62</v>
      </c>
      <c r="G128" s="3" t="s">
        <v>19</v>
      </c>
      <c r="H128" s="3">
        <v>3</v>
      </c>
      <c r="I128" s="3">
        <v>899.99</v>
      </c>
      <c r="J128" s="3" t="s">
        <v>34</v>
      </c>
      <c r="K128" s="3" t="s">
        <v>50</v>
      </c>
      <c r="L128" s="3" t="s">
        <v>22</v>
      </c>
      <c r="M128" s="4">
        <v>45215</v>
      </c>
      <c r="N128" s="3">
        <v>2699.97</v>
      </c>
      <c r="O128">
        <f t="shared" ca="1" si="1"/>
        <v>0</v>
      </c>
    </row>
    <row r="129" spans="1:15" ht="15" thickBot="1" x14ac:dyDescent="0.35">
      <c r="A129" s="3" t="s">
        <v>268</v>
      </c>
      <c r="B129" s="4">
        <v>45581</v>
      </c>
      <c r="C129" s="3" t="s">
        <v>96</v>
      </c>
      <c r="D129" s="3" t="s">
        <v>97</v>
      </c>
      <c r="E129" s="3" t="s">
        <v>80</v>
      </c>
      <c r="F129" s="3" t="s">
        <v>81</v>
      </c>
      <c r="G129" s="3" t="s">
        <v>19</v>
      </c>
      <c r="H129" s="3">
        <v>5</v>
      </c>
      <c r="I129" s="3">
        <v>699.99</v>
      </c>
      <c r="J129" s="3" t="s">
        <v>20</v>
      </c>
      <c r="K129" s="3" t="s">
        <v>63</v>
      </c>
      <c r="L129" s="3" t="s">
        <v>36</v>
      </c>
      <c r="M129" s="4">
        <v>45008</v>
      </c>
      <c r="N129" s="3">
        <v>3499.95</v>
      </c>
      <c r="O129">
        <f t="shared" ca="1" si="1"/>
        <v>0</v>
      </c>
    </row>
    <row r="130" spans="1:15" ht="15" thickBot="1" x14ac:dyDescent="0.35">
      <c r="A130" s="3" t="s">
        <v>269</v>
      </c>
      <c r="B130" s="4">
        <v>45581</v>
      </c>
      <c r="C130" s="3" t="s">
        <v>171</v>
      </c>
      <c r="D130" s="3" t="s">
        <v>172</v>
      </c>
      <c r="E130" s="3" t="s">
        <v>80</v>
      </c>
      <c r="F130" s="3" t="s">
        <v>81</v>
      </c>
      <c r="G130" s="3" t="s">
        <v>19</v>
      </c>
      <c r="H130" s="3">
        <v>4</v>
      </c>
      <c r="I130" s="3">
        <v>699.99</v>
      </c>
      <c r="J130" s="3" t="s">
        <v>26</v>
      </c>
      <c r="K130" s="3" t="s">
        <v>21</v>
      </c>
      <c r="L130" s="3" t="s">
        <v>22</v>
      </c>
      <c r="M130" s="4">
        <v>45385</v>
      </c>
      <c r="N130" s="3">
        <v>2799.96</v>
      </c>
      <c r="O130">
        <f t="shared" ca="1" si="1"/>
        <v>0</v>
      </c>
    </row>
    <row r="131" spans="1:15" ht="15" thickBot="1" x14ac:dyDescent="0.35">
      <c r="A131" s="3" t="s">
        <v>270</v>
      </c>
      <c r="B131" s="4">
        <v>45581</v>
      </c>
      <c r="C131" s="3" t="s">
        <v>150</v>
      </c>
      <c r="D131" s="3" t="s">
        <v>151</v>
      </c>
      <c r="E131" s="3" t="s">
        <v>61</v>
      </c>
      <c r="F131" s="3" t="s">
        <v>62</v>
      </c>
      <c r="G131" s="3" t="s">
        <v>19</v>
      </c>
      <c r="H131" s="3">
        <v>1</v>
      </c>
      <c r="I131" s="3">
        <v>899.99</v>
      </c>
      <c r="J131" s="3" t="s">
        <v>26</v>
      </c>
      <c r="K131" s="3" t="s">
        <v>63</v>
      </c>
      <c r="L131" s="3" t="s">
        <v>36</v>
      </c>
      <c r="M131" s="4">
        <v>45369</v>
      </c>
      <c r="N131" s="3">
        <v>899.99</v>
      </c>
      <c r="O131">
        <f t="shared" ref="O131:O194" ca="1" si="2">IF(A131&lt;&gt;"",IF(O131="",NOW(),O131),"")</f>
        <v>0</v>
      </c>
    </row>
    <row r="132" spans="1:15" ht="15" thickBot="1" x14ac:dyDescent="0.35">
      <c r="A132" s="3" t="s">
        <v>271</v>
      </c>
      <c r="B132" s="4">
        <v>45583</v>
      </c>
      <c r="C132" s="3" t="s">
        <v>226</v>
      </c>
      <c r="D132" s="3" t="s">
        <v>227</v>
      </c>
      <c r="E132" s="3" t="s">
        <v>52</v>
      </c>
      <c r="F132" s="3" t="s">
        <v>53</v>
      </c>
      <c r="G132" s="3" t="s">
        <v>19</v>
      </c>
      <c r="H132" s="3">
        <v>2</v>
      </c>
      <c r="I132" s="3">
        <v>149.99</v>
      </c>
      <c r="J132" s="3" t="s">
        <v>26</v>
      </c>
      <c r="K132" s="3" t="s">
        <v>50</v>
      </c>
      <c r="L132" s="3" t="s">
        <v>22</v>
      </c>
      <c r="M132" s="4">
        <v>44916</v>
      </c>
      <c r="N132" s="3">
        <v>299.98</v>
      </c>
      <c r="O132">
        <f t="shared" ca="1" si="2"/>
        <v>0</v>
      </c>
    </row>
    <row r="133" spans="1:15" ht="15" thickBot="1" x14ac:dyDescent="0.35">
      <c r="A133" s="3" t="s">
        <v>272</v>
      </c>
      <c r="B133" s="4">
        <v>45586</v>
      </c>
      <c r="C133" s="3" t="s">
        <v>226</v>
      </c>
      <c r="D133" s="3" t="s">
        <v>227</v>
      </c>
      <c r="E133" s="3" t="s">
        <v>117</v>
      </c>
      <c r="F133" s="3" t="s">
        <v>118</v>
      </c>
      <c r="G133" s="3" t="s">
        <v>19</v>
      </c>
      <c r="H133" s="3">
        <v>3</v>
      </c>
      <c r="I133" s="3">
        <v>89.99</v>
      </c>
      <c r="J133" s="3" t="s">
        <v>34</v>
      </c>
      <c r="K133" s="3" t="s">
        <v>21</v>
      </c>
      <c r="L133" s="3" t="s">
        <v>22</v>
      </c>
      <c r="M133" s="4">
        <v>44551</v>
      </c>
      <c r="N133" s="3">
        <v>269.97000000000003</v>
      </c>
      <c r="O133">
        <f t="shared" ca="1" si="2"/>
        <v>0</v>
      </c>
    </row>
    <row r="134" spans="1:15" ht="15" thickBot="1" x14ac:dyDescent="0.35">
      <c r="A134" s="3" t="s">
        <v>273</v>
      </c>
      <c r="B134" s="4">
        <v>45588</v>
      </c>
      <c r="C134" s="3" t="s">
        <v>38</v>
      </c>
      <c r="D134" s="3" t="s">
        <v>39</v>
      </c>
      <c r="E134" s="3" t="s">
        <v>52</v>
      </c>
      <c r="F134" s="3" t="s">
        <v>53</v>
      </c>
      <c r="G134" s="3" t="s">
        <v>19</v>
      </c>
      <c r="H134" s="3">
        <v>2</v>
      </c>
      <c r="I134" s="3">
        <v>149.99</v>
      </c>
      <c r="J134" s="3" t="s">
        <v>34</v>
      </c>
      <c r="K134" s="3" t="s">
        <v>21</v>
      </c>
      <c r="L134" s="3" t="s">
        <v>22</v>
      </c>
      <c r="M134" s="4">
        <v>44473</v>
      </c>
      <c r="N134" s="3">
        <v>299.98</v>
      </c>
      <c r="O134">
        <f t="shared" ca="1" si="2"/>
        <v>0</v>
      </c>
    </row>
    <row r="135" spans="1:15" ht="15" thickBot="1" x14ac:dyDescent="0.35">
      <c r="A135" s="3" t="s">
        <v>274</v>
      </c>
      <c r="B135" s="4">
        <v>45588</v>
      </c>
      <c r="C135" s="3" t="s">
        <v>154</v>
      </c>
      <c r="D135" s="3" t="s">
        <v>155</v>
      </c>
      <c r="E135" s="3" t="s">
        <v>80</v>
      </c>
      <c r="F135" s="3" t="s">
        <v>81</v>
      </c>
      <c r="G135" s="3" t="s">
        <v>19</v>
      </c>
      <c r="H135" s="3">
        <v>2</v>
      </c>
      <c r="I135" s="3">
        <v>699.99</v>
      </c>
      <c r="J135" s="3" t="s">
        <v>20</v>
      </c>
      <c r="K135" s="3" t="s">
        <v>21</v>
      </c>
      <c r="L135" s="3" t="s">
        <v>22</v>
      </c>
      <c r="M135" s="4">
        <v>44992</v>
      </c>
      <c r="N135" s="3">
        <v>1399.98</v>
      </c>
      <c r="O135">
        <f t="shared" ca="1" si="2"/>
        <v>0</v>
      </c>
    </row>
    <row r="136" spans="1:15" ht="15" thickBot="1" x14ac:dyDescent="0.35">
      <c r="A136" s="3" t="s">
        <v>275</v>
      </c>
      <c r="B136" s="4">
        <v>45589</v>
      </c>
      <c r="C136" s="3" t="s">
        <v>158</v>
      </c>
      <c r="D136" s="3" t="s">
        <v>159</v>
      </c>
      <c r="E136" s="3" t="s">
        <v>80</v>
      </c>
      <c r="F136" s="3" t="s">
        <v>81</v>
      </c>
      <c r="G136" s="3" t="s">
        <v>19</v>
      </c>
      <c r="H136" s="3">
        <v>5</v>
      </c>
      <c r="I136" s="3">
        <v>699.99</v>
      </c>
      <c r="J136" s="3" t="s">
        <v>20</v>
      </c>
      <c r="K136" s="3" t="s">
        <v>40</v>
      </c>
      <c r="L136" s="3" t="s">
        <v>27</v>
      </c>
      <c r="M136" s="4">
        <v>44635</v>
      </c>
      <c r="N136" s="3">
        <v>3499.95</v>
      </c>
      <c r="O136">
        <f t="shared" ca="1" si="2"/>
        <v>0</v>
      </c>
    </row>
    <row r="137" spans="1:15" ht="15" thickBot="1" x14ac:dyDescent="0.35">
      <c r="A137" s="3" t="s">
        <v>276</v>
      </c>
      <c r="B137" s="4">
        <v>45592</v>
      </c>
      <c r="C137" s="3" t="s">
        <v>171</v>
      </c>
      <c r="D137" s="3" t="s">
        <v>172</v>
      </c>
      <c r="E137" s="3" t="s">
        <v>117</v>
      </c>
      <c r="F137" s="3" t="s">
        <v>118</v>
      </c>
      <c r="G137" s="3" t="s">
        <v>19</v>
      </c>
      <c r="H137" s="3">
        <v>3</v>
      </c>
      <c r="I137" s="3">
        <v>89.99</v>
      </c>
      <c r="J137" s="3" t="s">
        <v>26</v>
      </c>
      <c r="K137" s="3" t="s">
        <v>40</v>
      </c>
      <c r="L137" s="3" t="s">
        <v>36</v>
      </c>
      <c r="M137" s="4">
        <v>44615</v>
      </c>
      <c r="N137" s="3">
        <v>269.97000000000003</v>
      </c>
      <c r="O137">
        <f t="shared" ca="1" si="2"/>
        <v>0</v>
      </c>
    </row>
    <row r="138" spans="1:15" ht="15" thickBot="1" x14ac:dyDescent="0.35">
      <c r="A138" s="3" t="s">
        <v>277</v>
      </c>
      <c r="B138" s="4">
        <v>45597</v>
      </c>
      <c r="C138" s="3" t="s">
        <v>15</v>
      </c>
      <c r="D138" s="3" t="s">
        <v>16</v>
      </c>
      <c r="E138" s="3" t="s">
        <v>17</v>
      </c>
      <c r="F138" s="3" t="s">
        <v>18</v>
      </c>
      <c r="G138" s="3" t="s">
        <v>19</v>
      </c>
      <c r="H138" s="3">
        <v>5</v>
      </c>
      <c r="I138" s="3">
        <v>249.99</v>
      </c>
      <c r="J138" s="3" t="s">
        <v>26</v>
      </c>
      <c r="K138" s="3" t="s">
        <v>35</v>
      </c>
      <c r="L138" s="3" t="s">
        <v>36</v>
      </c>
      <c r="M138" s="4">
        <v>44881</v>
      </c>
      <c r="N138" s="3">
        <v>1249.95</v>
      </c>
      <c r="O138">
        <f t="shared" ca="1" si="2"/>
        <v>0</v>
      </c>
    </row>
    <row r="139" spans="1:15" ht="15" thickBot="1" x14ac:dyDescent="0.35">
      <c r="A139" s="3" t="s">
        <v>278</v>
      </c>
      <c r="B139" s="4">
        <v>45600</v>
      </c>
      <c r="C139" s="3" t="s">
        <v>65</v>
      </c>
      <c r="D139" s="3" t="s">
        <v>66</v>
      </c>
      <c r="E139" s="3" t="s">
        <v>105</v>
      </c>
      <c r="F139" s="3" t="s">
        <v>106</v>
      </c>
      <c r="G139" s="3" t="s">
        <v>46</v>
      </c>
      <c r="H139" s="3">
        <v>3</v>
      </c>
      <c r="I139" s="3">
        <v>299.99</v>
      </c>
      <c r="J139" s="3" t="s">
        <v>26</v>
      </c>
      <c r="K139" s="3" t="s">
        <v>35</v>
      </c>
      <c r="L139" s="3" t="s">
        <v>36</v>
      </c>
      <c r="M139" s="4">
        <v>44502</v>
      </c>
      <c r="N139" s="3">
        <v>899.97</v>
      </c>
      <c r="O139">
        <f t="shared" ca="1" si="2"/>
        <v>0</v>
      </c>
    </row>
    <row r="140" spans="1:15" ht="15" thickBot="1" x14ac:dyDescent="0.35">
      <c r="A140" s="3" t="s">
        <v>279</v>
      </c>
      <c r="B140" s="4">
        <v>45603</v>
      </c>
      <c r="C140" s="3" t="s">
        <v>99</v>
      </c>
      <c r="D140" s="3" t="s">
        <v>100</v>
      </c>
      <c r="E140" s="3" t="s">
        <v>117</v>
      </c>
      <c r="F140" s="3" t="s">
        <v>118</v>
      </c>
      <c r="G140" s="3" t="s">
        <v>19</v>
      </c>
      <c r="H140" s="3">
        <v>3</v>
      </c>
      <c r="I140" s="3">
        <v>89.99</v>
      </c>
      <c r="J140" s="3" t="s">
        <v>26</v>
      </c>
      <c r="K140" s="3" t="s">
        <v>40</v>
      </c>
      <c r="L140" s="3" t="s">
        <v>27</v>
      </c>
      <c r="M140" s="4">
        <v>44420</v>
      </c>
      <c r="N140" s="3">
        <v>269.97000000000003</v>
      </c>
      <c r="O140">
        <f t="shared" ca="1" si="2"/>
        <v>0</v>
      </c>
    </row>
    <row r="141" spans="1:15" ht="15" thickBot="1" x14ac:dyDescent="0.35">
      <c r="A141" s="3" t="s">
        <v>280</v>
      </c>
      <c r="B141" s="4">
        <v>45604</v>
      </c>
      <c r="C141" s="3" t="s">
        <v>89</v>
      </c>
      <c r="D141" s="3" t="s">
        <v>90</v>
      </c>
      <c r="E141" s="3" t="s">
        <v>44</v>
      </c>
      <c r="F141" s="3" t="s">
        <v>45</v>
      </c>
      <c r="G141" s="3" t="s">
        <v>46</v>
      </c>
      <c r="H141" s="3">
        <v>2</v>
      </c>
      <c r="I141" s="3">
        <v>149.99</v>
      </c>
      <c r="J141" s="3" t="s">
        <v>26</v>
      </c>
      <c r="K141" s="3" t="s">
        <v>50</v>
      </c>
      <c r="L141" s="3" t="s">
        <v>27</v>
      </c>
      <c r="M141" s="4">
        <v>44848</v>
      </c>
      <c r="N141" s="3">
        <v>299.98</v>
      </c>
      <c r="O141">
        <f t="shared" ca="1" si="2"/>
        <v>0</v>
      </c>
    </row>
    <row r="142" spans="1:15" ht="15" thickBot="1" x14ac:dyDescent="0.35">
      <c r="A142" s="3" t="s">
        <v>281</v>
      </c>
      <c r="B142" s="4">
        <v>45605</v>
      </c>
      <c r="C142" s="3" t="s">
        <v>185</v>
      </c>
      <c r="D142" s="3" t="s">
        <v>186</v>
      </c>
      <c r="E142" s="3" t="s">
        <v>17</v>
      </c>
      <c r="F142" s="3" t="s">
        <v>18</v>
      </c>
      <c r="G142" s="3" t="s">
        <v>19</v>
      </c>
      <c r="H142" s="3">
        <v>1</v>
      </c>
      <c r="I142" s="3">
        <v>249.99</v>
      </c>
      <c r="J142" s="3" t="s">
        <v>26</v>
      </c>
      <c r="K142" s="3" t="s">
        <v>40</v>
      </c>
      <c r="L142" s="3" t="s">
        <v>27</v>
      </c>
      <c r="M142" s="4">
        <v>44828</v>
      </c>
      <c r="N142" s="3">
        <v>249.99</v>
      </c>
      <c r="O142">
        <f t="shared" ca="1" si="2"/>
        <v>0</v>
      </c>
    </row>
    <row r="143" spans="1:15" ht="15" thickBot="1" x14ac:dyDescent="0.35">
      <c r="A143" s="3" t="s">
        <v>282</v>
      </c>
      <c r="B143" s="4">
        <v>45607</v>
      </c>
      <c r="C143" s="3" t="s">
        <v>72</v>
      </c>
      <c r="D143" s="3" t="s">
        <v>73</v>
      </c>
      <c r="E143" s="3" t="s">
        <v>52</v>
      </c>
      <c r="F143" s="3" t="s">
        <v>53</v>
      </c>
      <c r="G143" s="3" t="s">
        <v>19</v>
      </c>
      <c r="H143" s="3">
        <v>3</v>
      </c>
      <c r="I143" s="3">
        <v>149.99</v>
      </c>
      <c r="J143" s="3" t="s">
        <v>20</v>
      </c>
      <c r="K143" s="3" t="s">
        <v>40</v>
      </c>
      <c r="L143" s="3" t="s">
        <v>22</v>
      </c>
      <c r="M143" s="4">
        <v>44769</v>
      </c>
      <c r="N143" s="3">
        <v>449.97</v>
      </c>
      <c r="O143">
        <f t="shared" ca="1" si="2"/>
        <v>0</v>
      </c>
    </row>
    <row r="144" spans="1:15" ht="15" thickBot="1" x14ac:dyDescent="0.35">
      <c r="A144" s="3" t="s">
        <v>283</v>
      </c>
      <c r="B144" s="4">
        <v>45607</v>
      </c>
      <c r="C144" s="3" t="s">
        <v>15</v>
      </c>
      <c r="D144" s="3" t="s">
        <v>16</v>
      </c>
      <c r="E144" s="3" t="s">
        <v>31</v>
      </c>
      <c r="F144" s="3" t="s">
        <v>32</v>
      </c>
      <c r="G144" s="3" t="s">
        <v>33</v>
      </c>
      <c r="H144" s="3">
        <v>5</v>
      </c>
      <c r="I144" s="3">
        <v>59.99</v>
      </c>
      <c r="J144" s="3" t="s">
        <v>34</v>
      </c>
      <c r="K144" s="3" t="s">
        <v>50</v>
      </c>
      <c r="L144" s="3" t="s">
        <v>27</v>
      </c>
      <c r="M144" s="4">
        <v>44694</v>
      </c>
      <c r="N144" s="3">
        <v>299.95</v>
      </c>
      <c r="O144">
        <f t="shared" ca="1" si="2"/>
        <v>0</v>
      </c>
    </row>
    <row r="145" spans="1:15" ht="15" thickBot="1" x14ac:dyDescent="0.35">
      <c r="A145" s="3" t="s">
        <v>284</v>
      </c>
      <c r="B145" s="4">
        <v>45607</v>
      </c>
      <c r="C145" s="3" t="s">
        <v>99</v>
      </c>
      <c r="D145" s="3" t="s">
        <v>100</v>
      </c>
      <c r="E145" s="3" t="s">
        <v>17</v>
      </c>
      <c r="F145" s="3" t="s">
        <v>18</v>
      </c>
      <c r="G145" s="3" t="s">
        <v>19</v>
      </c>
      <c r="H145" s="3">
        <v>4</v>
      </c>
      <c r="I145" s="3">
        <v>249.99</v>
      </c>
      <c r="J145" s="3" t="s">
        <v>26</v>
      </c>
      <c r="K145" s="3" t="s">
        <v>50</v>
      </c>
      <c r="L145" s="3" t="s">
        <v>36</v>
      </c>
      <c r="M145" s="4">
        <v>44659</v>
      </c>
      <c r="N145" s="3">
        <v>999.96</v>
      </c>
      <c r="O145">
        <f t="shared" ca="1" si="2"/>
        <v>0</v>
      </c>
    </row>
    <row r="146" spans="1:15" ht="15" thickBot="1" x14ac:dyDescent="0.35">
      <c r="A146" s="3" t="s">
        <v>285</v>
      </c>
      <c r="B146" s="4">
        <v>45608</v>
      </c>
      <c r="C146" s="3" t="s">
        <v>154</v>
      </c>
      <c r="D146" s="3" t="s">
        <v>155</v>
      </c>
      <c r="E146" s="3" t="s">
        <v>44</v>
      </c>
      <c r="F146" s="3" t="s">
        <v>45</v>
      </c>
      <c r="G146" s="3" t="s">
        <v>46</v>
      </c>
      <c r="H146" s="3">
        <v>5</v>
      </c>
      <c r="I146" s="3">
        <v>149.99</v>
      </c>
      <c r="J146" s="3" t="s">
        <v>34</v>
      </c>
      <c r="K146" s="3" t="s">
        <v>21</v>
      </c>
      <c r="L146" s="3" t="s">
        <v>22</v>
      </c>
      <c r="M146" s="4">
        <v>44901</v>
      </c>
      <c r="N146" s="3">
        <v>749.95</v>
      </c>
      <c r="O146">
        <f t="shared" ca="1" si="2"/>
        <v>0</v>
      </c>
    </row>
    <row r="147" spans="1:15" ht="15" thickBot="1" x14ac:dyDescent="0.35">
      <c r="A147" s="3" t="s">
        <v>286</v>
      </c>
      <c r="B147" s="4">
        <v>45608</v>
      </c>
      <c r="C147" s="3" t="s">
        <v>83</v>
      </c>
      <c r="D147" s="3" t="s">
        <v>84</v>
      </c>
      <c r="E147" s="3" t="s">
        <v>31</v>
      </c>
      <c r="F147" s="3" t="s">
        <v>32</v>
      </c>
      <c r="G147" s="3" t="s">
        <v>33</v>
      </c>
      <c r="H147" s="3">
        <v>3</v>
      </c>
      <c r="I147" s="3">
        <v>59.99</v>
      </c>
      <c r="J147" s="3" t="s">
        <v>57</v>
      </c>
      <c r="K147" s="3" t="s">
        <v>35</v>
      </c>
      <c r="L147" s="3" t="s">
        <v>36</v>
      </c>
      <c r="M147" s="4">
        <v>45260</v>
      </c>
      <c r="N147" s="3">
        <v>179.97</v>
      </c>
      <c r="O147">
        <f t="shared" ca="1" si="2"/>
        <v>0</v>
      </c>
    </row>
    <row r="148" spans="1:15" ht="15" thickBot="1" x14ac:dyDescent="0.35">
      <c r="A148" s="3" t="s">
        <v>287</v>
      </c>
      <c r="B148" s="4">
        <v>45613</v>
      </c>
      <c r="C148" s="3" t="s">
        <v>234</v>
      </c>
      <c r="D148" s="3" t="s">
        <v>235</v>
      </c>
      <c r="E148" s="3" t="s">
        <v>44</v>
      </c>
      <c r="F148" s="3" t="s">
        <v>45</v>
      </c>
      <c r="G148" s="3" t="s">
        <v>46</v>
      </c>
      <c r="H148" s="3">
        <v>5</v>
      </c>
      <c r="I148" s="3">
        <v>149.99</v>
      </c>
      <c r="J148" s="3" t="s">
        <v>20</v>
      </c>
      <c r="K148" s="3" t="s">
        <v>40</v>
      </c>
      <c r="L148" s="3" t="s">
        <v>22</v>
      </c>
      <c r="M148" s="4">
        <v>44869</v>
      </c>
      <c r="N148" s="3">
        <v>749.95</v>
      </c>
      <c r="O148">
        <f t="shared" ca="1" si="2"/>
        <v>0</v>
      </c>
    </row>
    <row r="149" spans="1:15" ht="15" thickBot="1" x14ac:dyDescent="0.35">
      <c r="A149" s="3" t="s">
        <v>288</v>
      </c>
      <c r="B149" s="4">
        <v>45613</v>
      </c>
      <c r="C149" s="3" t="s">
        <v>86</v>
      </c>
      <c r="D149" s="3" t="s">
        <v>87</v>
      </c>
      <c r="E149" s="3" t="s">
        <v>80</v>
      </c>
      <c r="F149" s="3" t="s">
        <v>81</v>
      </c>
      <c r="G149" s="3" t="s">
        <v>19</v>
      </c>
      <c r="H149" s="3">
        <v>2</v>
      </c>
      <c r="I149" s="3">
        <v>699.99</v>
      </c>
      <c r="J149" s="3" t="s">
        <v>34</v>
      </c>
      <c r="K149" s="3" t="s">
        <v>50</v>
      </c>
      <c r="L149" s="3" t="s">
        <v>36</v>
      </c>
      <c r="M149" s="4">
        <v>44770</v>
      </c>
      <c r="N149" s="3">
        <v>1399.98</v>
      </c>
      <c r="O149">
        <f t="shared" ca="1" si="2"/>
        <v>0</v>
      </c>
    </row>
    <row r="150" spans="1:15" ht="15" thickBot="1" x14ac:dyDescent="0.35">
      <c r="A150" s="3" t="s">
        <v>289</v>
      </c>
      <c r="B150" s="4">
        <v>45617</v>
      </c>
      <c r="C150" s="3" t="s">
        <v>123</v>
      </c>
      <c r="D150" s="3" t="s">
        <v>124</v>
      </c>
      <c r="E150" s="3" t="s">
        <v>126</v>
      </c>
      <c r="F150" s="3" t="s">
        <v>127</v>
      </c>
      <c r="G150" s="3" t="s">
        <v>46</v>
      </c>
      <c r="H150" s="3">
        <v>4</v>
      </c>
      <c r="I150" s="3">
        <v>199.99</v>
      </c>
      <c r="J150" s="3" t="s">
        <v>57</v>
      </c>
      <c r="K150" s="3" t="s">
        <v>21</v>
      </c>
      <c r="L150" s="3" t="s">
        <v>27</v>
      </c>
      <c r="M150" s="4">
        <v>44427</v>
      </c>
      <c r="N150" s="3">
        <v>799.96</v>
      </c>
      <c r="O150">
        <f t="shared" ca="1" si="2"/>
        <v>0</v>
      </c>
    </row>
    <row r="151" spans="1:15" ht="15" thickBot="1" x14ac:dyDescent="0.35">
      <c r="A151" s="3" t="s">
        <v>290</v>
      </c>
      <c r="B151" s="4">
        <v>45619</v>
      </c>
      <c r="C151" s="3" t="s">
        <v>192</v>
      </c>
      <c r="D151" s="3" t="s">
        <v>193</v>
      </c>
      <c r="E151" s="3" t="s">
        <v>31</v>
      </c>
      <c r="F151" s="3" t="s">
        <v>32</v>
      </c>
      <c r="G151" s="3" t="s">
        <v>33</v>
      </c>
      <c r="H151" s="3">
        <v>1</v>
      </c>
      <c r="I151" s="3">
        <v>59.99</v>
      </c>
      <c r="J151" s="3" t="s">
        <v>57</v>
      </c>
      <c r="K151" s="3" t="s">
        <v>50</v>
      </c>
      <c r="L151" s="3" t="s">
        <v>36</v>
      </c>
      <c r="M151" s="4">
        <v>44560</v>
      </c>
      <c r="N151" s="3">
        <v>59.99</v>
      </c>
      <c r="O151">
        <f t="shared" ca="1" si="2"/>
        <v>0</v>
      </c>
    </row>
    <row r="152" spans="1:15" ht="15" thickBot="1" x14ac:dyDescent="0.35">
      <c r="A152" s="3" t="s">
        <v>291</v>
      </c>
      <c r="B152" s="4">
        <v>45619</v>
      </c>
      <c r="C152" s="3" t="s">
        <v>154</v>
      </c>
      <c r="D152" s="3" t="s">
        <v>155</v>
      </c>
      <c r="E152" s="3" t="s">
        <v>80</v>
      </c>
      <c r="F152" s="3" t="s">
        <v>81</v>
      </c>
      <c r="G152" s="3" t="s">
        <v>19</v>
      </c>
      <c r="H152" s="3">
        <v>3</v>
      </c>
      <c r="I152" s="3">
        <v>699.99</v>
      </c>
      <c r="J152" s="3" t="s">
        <v>34</v>
      </c>
      <c r="K152" s="3" t="s">
        <v>50</v>
      </c>
      <c r="L152" s="3" t="s">
        <v>36</v>
      </c>
      <c r="M152" s="4">
        <v>44583</v>
      </c>
      <c r="N152" s="3">
        <v>2099.9699999999998</v>
      </c>
      <c r="O152">
        <f t="shared" ca="1" si="2"/>
        <v>0</v>
      </c>
    </row>
    <row r="153" spans="1:15" ht="15" thickBot="1" x14ac:dyDescent="0.35">
      <c r="A153" s="3" t="s">
        <v>292</v>
      </c>
      <c r="B153" s="4">
        <v>45622</v>
      </c>
      <c r="C153" s="3" t="s">
        <v>293</v>
      </c>
      <c r="D153" s="3" t="s">
        <v>294</v>
      </c>
      <c r="E153" s="3" t="s">
        <v>17</v>
      </c>
      <c r="F153" s="3" t="s">
        <v>18</v>
      </c>
      <c r="G153" s="3" t="s">
        <v>19</v>
      </c>
      <c r="H153" s="3">
        <v>5</v>
      </c>
      <c r="I153" s="3">
        <v>249.99</v>
      </c>
      <c r="J153" s="3" t="s">
        <v>26</v>
      </c>
      <c r="K153" s="3" t="s">
        <v>40</v>
      </c>
      <c r="L153" s="3" t="s">
        <v>22</v>
      </c>
      <c r="M153" s="4">
        <v>44873</v>
      </c>
      <c r="N153" s="3">
        <v>1249.95</v>
      </c>
      <c r="O153">
        <f t="shared" ca="1" si="2"/>
        <v>0</v>
      </c>
    </row>
    <row r="154" spans="1:15" ht="15" thickBot="1" x14ac:dyDescent="0.35">
      <c r="A154" s="3" t="s">
        <v>295</v>
      </c>
      <c r="B154" s="4">
        <v>45623</v>
      </c>
      <c r="C154" s="3" t="s">
        <v>112</v>
      </c>
      <c r="D154" s="3" t="s">
        <v>113</v>
      </c>
      <c r="E154" s="3" t="s">
        <v>44</v>
      </c>
      <c r="F154" s="3" t="s">
        <v>45</v>
      </c>
      <c r="G154" s="3" t="s">
        <v>46</v>
      </c>
      <c r="H154" s="3">
        <v>2</v>
      </c>
      <c r="I154" s="3">
        <v>149.99</v>
      </c>
      <c r="J154" s="3" t="s">
        <v>20</v>
      </c>
      <c r="K154" s="3" t="s">
        <v>35</v>
      </c>
      <c r="L154" s="3" t="s">
        <v>36</v>
      </c>
      <c r="M154" s="4">
        <v>45101</v>
      </c>
      <c r="N154" s="3">
        <v>299.98</v>
      </c>
      <c r="O154">
        <f t="shared" ca="1" si="2"/>
        <v>0</v>
      </c>
    </row>
    <row r="155" spans="1:15" ht="15" thickBot="1" x14ac:dyDescent="0.35">
      <c r="A155" s="3" t="s">
        <v>296</v>
      </c>
      <c r="B155" s="4">
        <v>45627</v>
      </c>
      <c r="C155" s="3" t="s">
        <v>29</v>
      </c>
      <c r="D155" s="3" t="s">
        <v>30</v>
      </c>
      <c r="E155" s="3" t="s">
        <v>105</v>
      </c>
      <c r="F155" s="3" t="s">
        <v>106</v>
      </c>
      <c r="G155" s="3" t="s">
        <v>46</v>
      </c>
      <c r="H155" s="3">
        <v>3</v>
      </c>
      <c r="I155" s="3">
        <v>299.99</v>
      </c>
      <c r="J155" s="3" t="s">
        <v>20</v>
      </c>
      <c r="K155" s="3" t="s">
        <v>35</v>
      </c>
      <c r="L155" s="3" t="s">
        <v>27</v>
      </c>
      <c r="M155" s="4">
        <v>44659</v>
      </c>
      <c r="N155" s="3">
        <v>899.97</v>
      </c>
      <c r="O155">
        <f t="shared" ca="1" si="2"/>
        <v>0</v>
      </c>
    </row>
    <row r="156" spans="1:15" ht="15" thickBot="1" x14ac:dyDescent="0.35">
      <c r="A156" s="3" t="s">
        <v>297</v>
      </c>
      <c r="B156" s="4">
        <v>45627</v>
      </c>
      <c r="C156" s="3" t="s">
        <v>55</v>
      </c>
      <c r="D156" s="3" t="s">
        <v>56</v>
      </c>
      <c r="E156" s="3" t="s">
        <v>17</v>
      </c>
      <c r="F156" s="3" t="s">
        <v>18</v>
      </c>
      <c r="G156" s="3" t="s">
        <v>19</v>
      </c>
      <c r="H156" s="3">
        <v>5</v>
      </c>
      <c r="I156" s="3">
        <v>249.99</v>
      </c>
      <c r="J156" s="3" t="s">
        <v>20</v>
      </c>
      <c r="K156" s="3" t="s">
        <v>21</v>
      </c>
      <c r="L156" s="3" t="s">
        <v>27</v>
      </c>
      <c r="M156" s="4">
        <v>44485</v>
      </c>
      <c r="N156" s="3">
        <v>1249.95</v>
      </c>
      <c r="O156">
        <f t="shared" ca="1" si="2"/>
        <v>0</v>
      </c>
    </row>
    <row r="157" spans="1:15" ht="15" thickBot="1" x14ac:dyDescent="0.35">
      <c r="A157" s="3" t="s">
        <v>298</v>
      </c>
      <c r="B157" s="4">
        <v>45627</v>
      </c>
      <c r="C157" s="3" t="s">
        <v>24</v>
      </c>
      <c r="D157" s="3" t="s">
        <v>25</v>
      </c>
      <c r="E157" s="3" t="s">
        <v>52</v>
      </c>
      <c r="F157" s="3" t="s">
        <v>53</v>
      </c>
      <c r="G157" s="3" t="s">
        <v>19</v>
      </c>
      <c r="H157" s="3">
        <v>2</v>
      </c>
      <c r="I157" s="3">
        <v>149.99</v>
      </c>
      <c r="J157" s="3" t="s">
        <v>20</v>
      </c>
      <c r="K157" s="3" t="s">
        <v>35</v>
      </c>
      <c r="L157" s="3" t="s">
        <v>27</v>
      </c>
      <c r="M157" s="4">
        <v>44475</v>
      </c>
      <c r="N157" s="3">
        <v>299.98</v>
      </c>
      <c r="O157">
        <f t="shared" ca="1" si="2"/>
        <v>0</v>
      </c>
    </row>
    <row r="158" spans="1:15" ht="15" thickBot="1" x14ac:dyDescent="0.35">
      <c r="A158" s="3" t="s">
        <v>299</v>
      </c>
      <c r="B158" s="4">
        <v>45627</v>
      </c>
      <c r="C158" s="3" t="s">
        <v>86</v>
      </c>
      <c r="D158" s="3" t="s">
        <v>87</v>
      </c>
      <c r="E158" s="3" t="s">
        <v>80</v>
      </c>
      <c r="F158" s="3" t="s">
        <v>81</v>
      </c>
      <c r="G158" s="3" t="s">
        <v>19</v>
      </c>
      <c r="H158" s="3">
        <v>5</v>
      </c>
      <c r="I158" s="3">
        <v>699.99</v>
      </c>
      <c r="J158" s="3" t="s">
        <v>57</v>
      </c>
      <c r="K158" s="3" t="s">
        <v>50</v>
      </c>
      <c r="L158" s="3" t="s">
        <v>36</v>
      </c>
      <c r="M158" s="4">
        <v>44944</v>
      </c>
      <c r="N158" s="3">
        <v>3499.95</v>
      </c>
      <c r="O158">
        <f t="shared" ca="1" si="2"/>
        <v>0</v>
      </c>
    </row>
    <row r="159" spans="1:15" ht="15" thickBot="1" x14ac:dyDescent="0.35">
      <c r="A159" s="3" t="s">
        <v>300</v>
      </c>
      <c r="B159" s="4">
        <v>45629</v>
      </c>
      <c r="C159" s="3" t="s">
        <v>252</v>
      </c>
      <c r="D159" s="3" t="s">
        <v>253</v>
      </c>
      <c r="E159" s="3" t="s">
        <v>17</v>
      </c>
      <c r="F159" s="3" t="s">
        <v>18</v>
      </c>
      <c r="G159" s="3" t="s">
        <v>19</v>
      </c>
      <c r="H159" s="3">
        <v>4</v>
      </c>
      <c r="I159" s="3">
        <v>249.99</v>
      </c>
      <c r="J159" s="3" t="s">
        <v>34</v>
      </c>
      <c r="K159" s="3" t="s">
        <v>63</v>
      </c>
      <c r="L159" s="3" t="s">
        <v>27</v>
      </c>
      <c r="M159" s="4">
        <v>45098</v>
      </c>
      <c r="N159" s="3">
        <v>999.96</v>
      </c>
      <c r="O159">
        <f t="shared" ca="1" si="2"/>
        <v>0</v>
      </c>
    </row>
    <row r="160" spans="1:15" ht="15" thickBot="1" x14ac:dyDescent="0.35">
      <c r="A160" s="3" t="s">
        <v>301</v>
      </c>
      <c r="B160" s="4">
        <v>45630</v>
      </c>
      <c r="C160" s="3" t="s">
        <v>48</v>
      </c>
      <c r="D160" s="3" t="s">
        <v>49</v>
      </c>
      <c r="E160" s="3" t="s">
        <v>80</v>
      </c>
      <c r="F160" s="3" t="s">
        <v>81</v>
      </c>
      <c r="G160" s="3" t="s">
        <v>19</v>
      </c>
      <c r="H160" s="3">
        <v>4</v>
      </c>
      <c r="I160" s="3">
        <v>699.99</v>
      </c>
      <c r="J160" s="3" t="s">
        <v>26</v>
      </c>
      <c r="K160" s="3" t="s">
        <v>40</v>
      </c>
      <c r="L160" s="3" t="s">
        <v>27</v>
      </c>
      <c r="M160" s="4">
        <v>44703</v>
      </c>
      <c r="N160" s="3">
        <v>2799.96</v>
      </c>
      <c r="O160">
        <f t="shared" ca="1" si="2"/>
        <v>0</v>
      </c>
    </row>
    <row r="161" spans="1:15" ht="15" thickBot="1" x14ac:dyDescent="0.35">
      <c r="A161" s="3" t="s">
        <v>302</v>
      </c>
      <c r="B161" s="4">
        <v>45635</v>
      </c>
      <c r="C161" s="3" t="s">
        <v>108</v>
      </c>
      <c r="D161" s="3" t="s">
        <v>109</v>
      </c>
      <c r="E161" s="3" t="s">
        <v>17</v>
      </c>
      <c r="F161" s="3" t="s">
        <v>18</v>
      </c>
      <c r="G161" s="3" t="s">
        <v>19</v>
      </c>
      <c r="H161" s="3">
        <v>2</v>
      </c>
      <c r="I161" s="3">
        <v>249.99</v>
      </c>
      <c r="J161" s="3" t="s">
        <v>26</v>
      </c>
      <c r="K161" s="3" t="s">
        <v>21</v>
      </c>
      <c r="L161" s="3" t="s">
        <v>27</v>
      </c>
      <c r="M161" s="4">
        <v>44396</v>
      </c>
      <c r="N161" s="3">
        <v>499.98</v>
      </c>
      <c r="O161">
        <f t="shared" ca="1" si="2"/>
        <v>0</v>
      </c>
    </row>
    <row r="162" spans="1:15" ht="15" thickBot="1" x14ac:dyDescent="0.35">
      <c r="A162" s="3" t="s">
        <v>303</v>
      </c>
      <c r="B162" s="4">
        <v>45635</v>
      </c>
      <c r="C162" s="3" t="s">
        <v>304</v>
      </c>
      <c r="D162" s="3" t="s">
        <v>305</v>
      </c>
      <c r="E162" s="3" t="s">
        <v>31</v>
      </c>
      <c r="F162" s="3" t="s">
        <v>32</v>
      </c>
      <c r="G162" s="3" t="s">
        <v>33</v>
      </c>
      <c r="H162" s="3">
        <v>3</v>
      </c>
      <c r="I162" s="3">
        <v>59.99</v>
      </c>
      <c r="J162" s="3" t="s">
        <v>20</v>
      </c>
      <c r="K162" s="3" t="s">
        <v>21</v>
      </c>
      <c r="L162" s="3" t="s">
        <v>27</v>
      </c>
      <c r="M162" s="4">
        <v>45052</v>
      </c>
      <c r="N162" s="3">
        <v>179.97</v>
      </c>
      <c r="O162">
        <f t="shared" ca="1" si="2"/>
        <v>0</v>
      </c>
    </row>
    <row r="163" spans="1:15" ht="15" thickBot="1" x14ac:dyDescent="0.35">
      <c r="A163" s="3" t="s">
        <v>306</v>
      </c>
      <c r="B163" s="4">
        <v>45635</v>
      </c>
      <c r="C163" s="3" t="s">
        <v>141</v>
      </c>
      <c r="D163" s="3" t="s">
        <v>142</v>
      </c>
      <c r="E163" s="3" t="s">
        <v>114</v>
      </c>
      <c r="F163" s="3" t="s">
        <v>115</v>
      </c>
      <c r="G163" s="3" t="s">
        <v>33</v>
      </c>
      <c r="H163" s="3">
        <v>4</v>
      </c>
      <c r="I163" s="3">
        <v>79.989999999999995</v>
      </c>
      <c r="J163" s="3" t="s">
        <v>57</v>
      </c>
      <c r="K163" s="3" t="s">
        <v>63</v>
      </c>
      <c r="L163" s="3" t="s">
        <v>36</v>
      </c>
      <c r="M163" s="4">
        <v>44921</v>
      </c>
      <c r="N163" s="3">
        <v>319.95999999999998</v>
      </c>
      <c r="O163">
        <f t="shared" ca="1" si="2"/>
        <v>0</v>
      </c>
    </row>
    <row r="164" spans="1:15" ht="15" thickBot="1" x14ac:dyDescent="0.35">
      <c r="A164" s="3" t="s">
        <v>307</v>
      </c>
      <c r="B164" s="4">
        <v>45636</v>
      </c>
      <c r="C164" s="3" t="s">
        <v>120</v>
      </c>
      <c r="D164" s="3" t="s">
        <v>121</v>
      </c>
      <c r="E164" s="3" t="s">
        <v>114</v>
      </c>
      <c r="F164" s="3" t="s">
        <v>115</v>
      </c>
      <c r="G164" s="3" t="s">
        <v>33</v>
      </c>
      <c r="H164" s="3">
        <v>3</v>
      </c>
      <c r="I164" s="3">
        <v>79.989999999999995</v>
      </c>
      <c r="J164" s="3" t="s">
        <v>57</v>
      </c>
      <c r="K164" s="3" t="s">
        <v>63</v>
      </c>
      <c r="L164" s="3" t="s">
        <v>36</v>
      </c>
      <c r="M164" s="4">
        <v>44779</v>
      </c>
      <c r="N164" s="3">
        <v>239.97</v>
      </c>
      <c r="O164">
        <f t="shared" ca="1" si="2"/>
        <v>0</v>
      </c>
    </row>
    <row r="165" spans="1:15" ht="15" thickBot="1" x14ac:dyDescent="0.35">
      <c r="A165" s="3" t="s">
        <v>308</v>
      </c>
      <c r="B165" s="4">
        <v>45638</v>
      </c>
      <c r="C165" s="3" t="s">
        <v>72</v>
      </c>
      <c r="D165" s="3" t="s">
        <v>73</v>
      </c>
      <c r="E165" s="3" t="s">
        <v>61</v>
      </c>
      <c r="F165" s="3" t="s">
        <v>62</v>
      </c>
      <c r="G165" s="3" t="s">
        <v>19</v>
      </c>
      <c r="H165" s="3">
        <v>2</v>
      </c>
      <c r="I165" s="3">
        <v>899.99</v>
      </c>
      <c r="J165" s="3" t="s">
        <v>20</v>
      </c>
      <c r="K165" s="3" t="s">
        <v>40</v>
      </c>
      <c r="L165" s="3" t="s">
        <v>22</v>
      </c>
      <c r="M165" s="4">
        <v>44406</v>
      </c>
      <c r="N165" s="3">
        <v>1799.98</v>
      </c>
      <c r="O165">
        <f t="shared" ca="1" si="2"/>
        <v>0</v>
      </c>
    </row>
    <row r="166" spans="1:15" ht="15" thickBot="1" x14ac:dyDescent="0.35">
      <c r="A166" s="3" t="s">
        <v>309</v>
      </c>
      <c r="B166" s="4">
        <v>45641</v>
      </c>
      <c r="C166" s="3" t="s">
        <v>182</v>
      </c>
      <c r="D166" s="3" t="s">
        <v>183</v>
      </c>
      <c r="E166" s="3" t="s">
        <v>44</v>
      </c>
      <c r="F166" s="3" t="s">
        <v>45</v>
      </c>
      <c r="G166" s="3" t="s">
        <v>46</v>
      </c>
      <c r="H166" s="3">
        <v>1</v>
      </c>
      <c r="I166" s="3">
        <v>149.99</v>
      </c>
      <c r="J166" s="3" t="s">
        <v>57</v>
      </c>
      <c r="K166" s="3" t="s">
        <v>63</v>
      </c>
      <c r="L166" s="3" t="s">
        <v>36</v>
      </c>
      <c r="M166" s="4">
        <v>45200</v>
      </c>
      <c r="N166" s="3">
        <v>149.99</v>
      </c>
      <c r="O166">
        <f t="shared" ca="1" si="2"/>
        <v>0</v>
      </c>
    </row>
    <row r="167" spans="1:15" ht="15" thickBot="1" x14ac:dyDescent="0.35">
      <c r="A167" s="3" t="s">
        <v>310</v>
      </c>
      <c r="B167" s="4">
        <v>45641</v>
      </c>
      <c r="C167" s="3" t="s">
        <v>138</v>
      </c>
      <c r="D167" s="3" t="s">
        <v>139</v>
      </c>
      <c r="E167" s="3" t="s">
        <v>105</v>
      </c>
      <c r="F167" s="3" t="s">
        <v>106</v>
      </c>
      <c r="G167" s="3" t="s">
        <v>46</v>
      </c>
      <c r="H167" s="3">
        <v>2</v>
      </c>
      <c r="I167" s="3">
        <v>299.99</v>
      </c>
      <c r="J167" s="3" t="s">
        <v>20</v>
      </c>
      <c r="K167" s="3" t="s">
        <v>63</v>
      </c>
      <c r="L167" s="3" t="s">
        <v>27</v>
      </c>
      <c r="M167" s="4">
        <v>44724</v>
      </c>
      <c r="N167" s="3">
        <v>599.98</v>
      </c>
      <c r="O167">
        <f t="shared" ca="1" si="2"/>
        <v>0</v>
      </c>
    </row>
    <row r="168" spans="1:15" ht="15" thickBot="1" x14ac:dyDescent="0.35">
      <c r="A168" s="3" t="s">
        <v>311</v>
      </c>
      <c r="B168" s="4">
        <v>45644</v>
      </c>
      <c r="C168" s="3" t="s">
        <v>132</v>
      </c>
      <c r="D168" s="3" t="s">
        <v>133</v>
      </c>
      <c r="E168" s="3" t="s">
        <v>31</v>
      </c>
      <c r="F168" s="3" t="s">
        <v>32</v>
      </c>
      <c r="G168" s="3" t="s">
        <v>33</v>
      </c>
      <c r="H168" s="3">
        <v>2</v>
      </c>
      <c r="I168" s="3">
        <v>59.99</v>
      </c>
      <c r="J168" s="3" t="s">
        <v>20</v>
      </c>
      <c r="K168" s="3" t="s">
        <v>50</v>
      </c>
      <c r="L168" s="3" t="s">
        <v>22</v>
      </c>
      <c r="M168" s="4">
        <v>45191</v>
      </c>
      <c r="N168" s="3">
        <v>119.98</v>
      </c>
      <c r="O168">
        <f t="shared" ca="1" si="2"/>
        <v>0</v>
      </c>
    </row>
    <row r="169" spans="1:15" ht="15" thickBot="1" x14ac:dyDescent="0.35">
      <c r="A169" s="3" t="s">
        <v>312</v>
      </c>
      <c r="B169" s="4">
        <v>45645</v>
      </c>
      <c r="C169" s="3" t="s">
        <v>182</v>
      </c>
      <c r="D169" s="3" t="s">
        <v>183</v>
      </c>
      <c r="E169" s="3" t="s">
        <v>117</v>
      </c>
      <c r="F169" s="3" t="s">
        <v>118</v>
      </c>
      <c r="G169" s="3" t="s">
        <v>19</v>
      </c>
      <c r="H169" s="3">
        <v>1</v>
      </c>
      <c r="I169" s="3">
        <v>89.99</v>
      </c>
      <c r="J169" s="3" t="s">
        <v>57</v>
      </c>
      <c r="K169" s="3" t="s">
        <v>21</v>
      </c>
      <c r="L169" s="3" t="s">
        <v>36</v>
      </c>
      <c r="M169" s="4">
        <v>44760</v>
      </c>
      <c r="N169" s="3">
        <v>89.99</v>
      </c>
      <c r="O169">
        <f t="shared" ca="1" si="2"/>
        <v>0</v>
      </c>
    </row>
    <row r="170" spans="1:15" ht="15" thickBot="1" x14ac:dyDescent="0.35">
      <c r="A170" s="3" t="s">
        <v>313</v>
      </c>
      <c r="B170" s="4">
        <v>45645</v>
      </c>
      <c r="C170" s="3" t="s">
        <v>147</v>
      </c>
      <c r="D170" s="3" t="s">
        <v>148</v>
      </c>
      <c r="E170" s="3" t="s">
        <v>61</v>
      </c>
      <c r="F170" s="3" t="s">
        <v>62</v>
      </c>
      <c r="G170" s="3" t="s">
        <v>19</v>
      </c>
      <c r="H170" s="3">
        <v>5</v>
      </c>
      <c r="I170" s="3">
        <v>899.99</v>
      </c>
      <c r="J170" s="3" t="s">
        <v>57</v>
      </c>
      <c r="K170" s="3" t="s">
        <v>63</v>
      </c>
      <c r="L170" s="3" t="s">
        <v>36</v>
      </c>
      <c r="M170" s="4">
        <v>44625</v>
      </c>
      <c r="N170" s="3">
        <v>4499.95</v>
      </c>
      <c r="O170">
        <f t="shared" ca="1" si="2"/>
        <v>0</v>
      </c>
    </row>
    <row r="171" spans="1:15" ht="15" thickBot="1" x14ac:dyDescent="0.35">
      <c r="A171" s="3" t="s">
        <v>314</v>
      </c>
      <c r="B171" s="4">
        <v>45646</v>
      </c>
      <c r="C171" s="3" t="s">
        <v>42</v>
      </c>
      <c r="D171" s="3" t="s">
        <v>43</v>
      </c>
      <c r="E171" s="3" t="s">
        <v>44</v>
      </c>
      <c r="F171" s="3" t="s">
        <v>45</v>
      </c>
      <c r="G171" s="3" t="s">
        <v>46</v>
      </c>
      <c r="H171" s="3">
        <v>2</v>
      </c>
      <c r="I171" s="3">
        <v>149.99</v>
      </c>
      <c r="J171" s="3" t="s">
        <v>20</v>
      </c>
      <c r="K171" s="3" t="s">
        <v>35</v>
      </c>
      <c r="L171" s="3" t="s">
        <v>22</v>
      </c>
      <c r="M171" s="4">
        <v>45239</v>
      </c>
      <c r="N171" s="3">
        <v>299.98</v>
      </c>
      <c r="O171">
        <f t="shared" ca="1" si="2"/>
        <v>0</v>
      </c>
    </row>
    <row r="172" spans="1:15" ht="15" thickBot="1" x14ac:dyDescent="0.35">
      <c r="A172" s="3" t="s">
        <v>315</v>
      </c>
      <c r="B172" s="4">
        <v>45648</v>
      </c>
      <c r="C172" s="3" t="s">
        <v>112</v>
      </c>
      <c r="D172" s="3" t="s">
        <v>113</v>
      </c>
      <c r="E172" s="3" t="s">
        <v>52</v>
      </c>
      <c r="F172" s="3" t="s">
        <v>53</v>
      </c>
      <c r="G172" s="3" t="s">
        <v>19</v>
      </c>
      <c r="H172" s="3">
        <v>2</v>
      </c>
      <c r="I172" s="3">
        <v>149.99</v>
      </c>
      <c r="J172" s="3" t="s">
        <v>57</v>
      </c>
      <c r="K172" s="3" t="s">
        <v>50</v>
      </c>
      <c r="L172" s="3" t="s">
        <v>27</v>
      </c>
      <c r="M172" s="4">
        <v>45280</v>
      </c>
      <c r="N172" s="3">
        <v>299.98</v>
      </c>
      <c r="O172">
        <f t="shared" ca="1" si="2"/>
        <v>0</v>
      </c>
    </row>
    <row r="173" spans="1:15" ht="15" thickBot="1" x14ac:dyDescent="0.35">
      <c r="A173" s="3" t="s">
        <v>316</v>
      </c>
      <c r="B173" s="4">
        <v>45648</v>
      </c>
      <c r="C173" s="3" t="s">
        <v>182</v>
      </c>
      <c r="D173" s="3" t="s">
        <v>183</v>
      </c>
      <c r="E173" s="3" t="s">
        <v>44</v>
      </c>
      <c r="F173" s="3" t="s">
        <v>45</v>
      </c>
      <c r="G173" s="3" t="s">
        <v>46</v>
      </c>
      <c r="H173" s="3">
        <v>3</v>
      </c>
      <c r="I173" s="3">
        <v>149.99</v>
      </c>
      <c r="J173" s="3" t="s">
        <v>57</v>
      </c>
      <c r="K173" s="3" t="s">
        <v>40</v>
      </c>
      <c r="L173" s="3" t="s">
        <v>36</v>
      </c>
      <c r="M173" s="4">
        <v>44522</v>
      </c>
      <c r="N173" s="3">
        <v>449.97</v>
      </c>
      <c r="O173">
        <f t="shared" ca="1" si="2"/>
        <v>0</v>
      </c>
    </row>
    <row r="174" spans="1:15" ht="15" thickBot="1" x14ac:dyDescent="0.35">
      <c r="A174" s="3" t="s">
        <v>317</v>
      </c>
      <c r="B174" s="4">
        <v>45649</v>
      </c>
      <c r="C174" s="3" t="s">
        <v>29</v>
      </c>
      <c r="D174" s="3" t="s">
        <v>30</v>
      </c>
      <c r="E174" s="3" t="s">
        <v>105</v>
      </c>
      <c r="F174" s="3" t="s">
        <v>106</v>
      </c>
      <c r="G174" s="3" t="s">
        <v>46</v>
      </c>
      <c r="H174" s="3">
        <v>2</v>
      </c>
      <c r="I174" s="3">
        <v>299.99</v>
      </c>
      <c r="J174" s="3" t="s">
        <v>34</v>
      </c>
      <c r="K174" s="3" t="s">
        <v>35</v>
      </c>
      <c r="L174" s="3" t="s">
        <v>22</v>
      </c>
      <c r="M174" s="4">
        <v>44721</v>
      </c>
      <c r="N174" s="3">
        <v>599.98</v>
      </c>
      <c r="O174">
        <f t="shared" ca="1" si="2"/>
        <v>0</v>
      </c>
    </row>
    <row r="175" spans="1:15" ht="15" thickBot="1" x14ac:dyDescent="0.35">
      <c r="A175" s="3" t="s">
        <v>318</v>
      </c>
      <c r="B175" s="4">
        <v>45654</v>
      </c>
      <c r="C175" s="3" t="s">
        <v>42</v>
      </c>
      <c r="D175" s="3" t="s">
        <v>43</v>
      </c>
      <c r="E175" s="3" t="s">
        <v>105</v>
      </c>
      <c r="F175" s="3" t="s">
        <v>106</v>
      </c>
      <c r="G175" s="3" t="s">
        <v>46</v>
      </c>
      <c r="H175" s="3">
        <v>2</v>
      </c>
      <c r="I175" s="3">
        <v>299.99</v>
      </c>
      <c r="J175" s="3" t="s">
        <v>20</v>
      </c>
      <c r="K175" s="3" t="s">
        <v>50</v>
      </c>
      <c r="L175" s="3" t="s">
        <v>22</v>
      </c>
      <c r="M175" s="4">
        <v>44771</v>
      </c>
      <c r="N175" s="3">
        <v>599.98</v>
      </c>
      <c r="O175">
        <f t="shared" ca="1" si="2"/>
        <v>0</v>
      </c>
    </row>
    <row r="176" spans="1:15" ht="15" thickBot="1" x14ac:dyDescent="0.35">
      <c r="A176" s="3" t="s">
        <v>319</v>
      </c>
      <c r="B176" s="4">
        <v>45654</v>
      </c>
      <c r="C176" s="3" t="s">
        <v>120</v>
      </c>
      <c r="D176" s="3" t="s">
        <v>121</v>
      </c>
      <c r="E176" s="3" t="s">
        <v>126</v>
      </c>
      <c r="F176" s="3" t="s">
        <v>127</v>
      </c>
      <c r="G176" s="3" t="s">
        <v>46</v>
      </c>
      <c r="H176" s="3">
        <v>4</v>
      </c>
      <c r="I176" s="3">
        <v>199.99</v>
      </c>
      <c r="J176" s="3" t="s">
        <v>26</v>
      </c>
      <c r="K176" s="3" t="s">
        <v>21</v>
      </c>
      <c r="L176" s="3" t="s">
        <v>22</v>
      </c>
      <c r="M176" s="4">
        <v>44523</v>
      </c>
      <c r="N176" s="3">
        <v>799.96</v>
      </c>
      <c r="O176">
        <f t="shared" ca="1" si="2"/>
        <v>0</v>
      </c>
    </row>
    <row r="177" spans="1:15" ht="15" thickBot="1" x14ac:dyDescent="0.35">
      <c r="A177" s="3" t="s">
        <v>320</v>
      </c>
      <c r="B177" s="4">
        <v>45655</v>
      </c>
      <c r="C177" s="3" t="s">
        <v>59</v>
      </c>
      <c r="D177" s="3" t="s">
        <v>60</v>
      </c>
      <c r="E177" s="3" t="s">
        <v>117</v>
      </c>
      <c r="F177" s="3" t="s">
        <v>118</v>
      </c>
      <c r="G177" s="3" t="s">
        <v>19</v>
      </c>
      <c r="H177" s="3">
        <v>1</v>
      </c>
      <c r="I177" s="3">
        <v>89.99</v>
      </c>
      <c r="J177" s="3" t="s">
        <v>26</v>
      </c>
      <c r="K177" s="3" t="s">
        <v>35</v>
      </c>
      <c r="L177" s="3" t="s">
        <v>27</v>
      </c>
      <c r="M177" s="4">
        <v>44591</v>
      </c>
      <c r="N177" s="3">
        <v>89.99</v>
      </c>
      <c r="O177">
        <f t="shared" ca="1" si="2"/>
        <v>0</v>
      </c>
    </row>
    <row r="178" spans="1:15" ht="15" thickBot="1" x14ac:dyDescent="0.35">
      <c r="A178" s="3" t="s">
        <v>321</v>
      </c>
      <c r="B178" s="4">
        <v>45655</v>
      </c>
      <c r="C178" s="3" t="s">
        <v>108</v>
      </c>
      <c r="D178" s="3" t="s">
        <v>109</v>
      </c>
      <c r="E178" s="3" t="s">
        <v>44</v>
      </c>
      <c r="F178" s="3" t="s">
        <v>45</v>
      </c>
      <c r="G178" s="3" t="s">
        <v>46</v>
      </c>
      <c r="H178" s="3">
        <v>5</v>
      </c>
      <c r="I178" s="3">
        <v>149.99</v>
      </c>
      <c r="J178" s="3" t="s">
        <v>20</v>
      </c>
      <c r="K178" s="3" t="s">
        <v>21</v>
      </c>
      <c r="L178" s="3" t="s">
        <v>27</v>
      </c>
      <c r="M178" s="4">
        <v>45347</v>
      </c>
      <c r="N178" s="3">
        <v>749.95</v>
      </c>
      <c r="O178">
        <f t="shared" ca="1" si="2"/>
        <v>0</v>
      </c>
    </row>
    <row r="179" spans="1:15" ht="15" thickBot="1" x14ac:dyDescent="0.35">
      <c r="A179" s="3" t="s">
        <v>322</v>
      </c>
      <c r="B179" s="4">
        <v>45657</v>
      </c>
      <c r="C179" s="3" t="s">
        <v>86</v>
      </c>
      <c r="D179" s="3" t="s">
        <v>87</v>
      </c>
      <c r="E179" s="3" t="s">
        <v>61</v>
      </c>
      <c r="F179" s="3" t="s">
        <v>62</v>
      </c>
      <c r="G179" s="3" t="s">
        <v>19</v>
      </c>
      <c r="H179" s="3">
        <v>1</v>
      </c>
      <c r="I179" s="3">
        <v>899.99</v>
      </c>
      <c r="J179" s="3" t="s">
        <v>34</v>
      </c>
      <c r="K179" s="3" t="s">
        <v>40</v>
      </c>
      <c r="L179" s="3" t="s">
        <v>27</v>
      </c>
      <c r="M179" s="4">
        <v>45050</v>
      </c>
      <c r="N179" s="3">
        <v>899.99</v>
      </c>
      <c r="O179">
        <f t="shared" ca="1" si="2"/>
        <v>0</v>
      </c>
    </row>
    <row r="180" spans="1:15" ht="15" thickBot="1" x14ac:dyDescent="0.35">
      <c r="A180" s="3" t="s">
        <v>323</v>
      </c>
      <c r="B180" s="4">
        <v>45660</v>
      </c>
      <c r="C180" s="3" t="s">
        <v>147</v>
      </c>
      <c r="D180" s="3" t="s">
        <v>148</v>
      </c>
      <c r="E180" s="3" t="s">
        <v>117</v>
      </c>
      <c r="F180" s="3" t="s">
        <v>118</v>
      </c>
      <c r="G180" s="3" t="s">
        <v>19</v>
      </c>
      <c r="H180" s="3">
        <v>2</v>
      </c>
      <c r="I180" s="3">
        <v>89.99</v>
      </c>
      <c r="J180" s="3" t="s">
        <v>26</v>
      </c>
      <c r="K180" s="3" t="s">
        <v>35</v>
      </c>
      <c r="L180" s="3" t="s">
        <v>27</v>
      </c>
      <c r="M180" s="4">
        <v>44564</v>
      </c>
      <c r="N180" s="3">
        <v>179.98</v>
      </c>
      <c r="O180">
        <f t="shared" ca="1" si="2"/>
        <v>0</v>
      </c>
    </row>
    <row r="181" spans="1:15" ht="15" thickBot="1" x14ac:dyDescent="0.35">
      <c r="A181" s="3" t="s">
        <v>324</v>
      </c>
      <c r="B181" s="4">
        <v>45661</v>
      </c>
      <c r="C181" s="3" t="s">
        <v>325</v>
      </c>
      <c r="D181" s="3" t="s">
        <v>326</v>
      </c>
      <c r="E181" s="3" t="s">
        <v>61</v>
      </c>
      <c r="F181" s="3" t="s">
        <v>62</v>
      </c>
      <c r="G181" s="3" t="s">
        <v>19</v>
      </c>
      <c r="H181" s="3">
        <v>1</v>
      </c>
      <c r="I181" s="3">
        <v>899.99</v>
      </c>
      <c r="J181" s="3" t="s">
        <v>34</v>
      </c>
      <c r="K181" s="3" t="s">
        <v>40</v>
      </c>
      <c r="L181" s="3" t="s">
        <v>36</v>
      </c>
      <c r="M181" s="4">
        <v>44752</v>
      </c>
      <c r="N181" s="3">
        <v>899.99</v>
      </c>
      <c r="O181">
        <f t="shared" ca="1" si="2"/>
        <v>0</v>
      </c>
    </row>
    <row r="182" spans="1:15" ht="15" thickBot="1" x14ac:dyDescent="0.35">
      <c r="A182" s="3" t="s">
        <v>327</v>
      </c>
      <c r="B182" s="4">
        <v>45663</v>
      </c>
      <c r="C182" s="3" t="s">
        <v>129</v>
      </c>
      <c r="D182" s="3" t="s">
        <v>130</v>
      </c>
      <c r="E182" s="3" t="s">
        <v>52</v>
      </c>
      <c r="F182" s="3" t="s">
        <v>53</v>
      </c>
      <c r="G182" s="3" t="s">
        <v>19</v>
      </c>
      <c r="H182" s="3">
        <v>5</v>
      </c>
      <c r="I182" s="3">
        <v>149.99</v>
      </c>
      <c r="J182" s="3" t="s">
        <v>34</v>
      </c>
      <c r="K182" s="3" t="s">
        <v>63</v>
      </c>
      <c r="L182" s="3" t="s">
        <v>27</v>
      </c>
      <c r="M182" s="4">
        <v>44824</v>
      </c>
      <c r="N182" s="3">
        <v>749.95</v>
      </c>
      <c r="O182">
        <f t="shared" ca="1" si="2"/>
        <v>0</v>
      </c>
    </row>
    <row r="183" spans="1:15" ht="15" thickBot="1" x14ac:dyDescent="0.35">
      <c r="A183" s="3" t="s">
        <v>328</v>
      </c>
      <c r="B183" s="4">
        <v>45663</v>
      </c>
      <c r="C183" s="3" t="s">
        <v>42</v>
      </c>
      <c r="D183" s="3" t="s">
        <v>43</v>
      </c>
      <c r="E183" s="3" t="s">
        <v>105</v>
      </c>
      <c r="F183" s="3" t="s">
        <v>106</v>
      </c>
      <c r="G183" s="3" t="s">
        <v>46</v>
      </c>
      <c r="H183" s="3">
        <v>3</v>
      </c>
      <c r="I183" s="3">
        <v>299.99</v>
      </c>
      <c r="J183" s="3" t="s">
        <v>20</v>
      </c>
      <c r="K183" s="3" t="s">
        <v>35</v>
      </c>
      <c r="L183" s="3" t="s">
        <v>36</v>
      </c>
      <c r="M183" s="4">
        <v>44422</v>
      </c>
      <c r="N183" s="3">
        <v>899.97</v>
      </c>
      <c r="O183">
        <f t="shared" ca="1" si="2"/>
        <v>0</v>
      </c>
    </row>
    <row r="184" spans="1:15" ht="15" thickBot="1" x14ac:dyDescent="0.35">
      <c r="A184" s="3" t="s">
        <v>329</v>
      </c>
      <c r="B184" s="4">
        <v>45666</v>
      </c>
      <c r="C184" s="3" t="s">
        <v>65</v>
      </c>
      <c r="D184" s="3" t="s">
        <v>66</v>
      </c>
      <c r="E184" s="3" t="s">
        <v>80</v>
      </c>
      <c r="F184" s="3" t="s">
        <v>81</v>
      </c>
      <c r="G184" s="3" t="s">
        <v>19</v>
      </c>
      <c r="H184" s="3">
        <v>3</v>
      </c>
      <c r="I184" s="3">
        <v>699.99</v>
      </c>
      <c r="J184" s="3" t="s">
        <v>26</v>
      </c>
      <c r="K184" s="3" t="s">
        <v>21</v>
      </c>
      <c r="L184" s="3" t="s">
        <v>27</v>
      </c>
      <c r="M184" s="4">
        <v>45105</v>
      </c>
      <c r="N184" s="3">
        <v>2099.9699999999998</v>
      </c>
      <c r="O184">
        <f t="shared" ca="1" si="2"/>
        <v>0</v>
      </c>
    </row>
    <row r="185" spans="1:15" ht="15" thickBot="1" x14ac:dyDescent="0.35">
      <c r="A185" s="3" t="s">
        <v>330</v>
      </c>
      <c r="B185" s="4">
        <v>45667</v>
      </c>
      <c r="C185" s="3" t="s">
        <v>108</v>
      </c>
      <c r="D185" s="3" t="s">
        <v>109</v>
      </c>
      <c r="E185" s="3" t="s">
        <v>126</v>
      </c>
      <c r="F185" s="3" t="s">
        <v>127</v>
      </c>
      <c r="G185" s="3" t="s">
        <v>46</v>
      </c>
      <c r="H185" s="3">
        <v>5</v>
      </c>
      <c r="I185" s="3">
        <v>199.99</v>
      </c>
      <c r="J185" s="3" t="s">
        <v>34</v>
      </c>
      <c r="K185" s="3" t="s">
        <v>21</v>
      </c>
      <c r="L185" s="3" t="s">
        <v>36</v>
      </c>
      <c r="M185" s="4">
        <v>44633</v>
      </c>
      <c r="N185" s="3">
        <v>999.95</v>
      </c>
      <c r="O185">
        <f t="shared" ca="1" si="2"/>
        <v>0</v>
      </c>
    </row>
    <row r="186" spans="1:15" ht="15" thickBot="1" x14ac:dyDescent="0.35">
      <c r="A186" s="3" t="s">
        <v>331</v>
      </c>
      <c r="B186" s="4">
        <v>45667</v>
      </c>
      <c r="C186" s="3" t="s">
        <v>93</v>
      </c>
      <c r="D186" s="3" t="s">
        <v>94</v>
      </c>
      <c r="E186" s="3" t="s">
        <v>17</v>
      </c>
      <c r="F186" s="3" t="s">
        <v>18</v>
      </c>
      <c r="G186" s="3" t="s">
        <v>19</v>
      </c>
      <c r="H186" s="3">
        <v>5</v>
      </c>
      <c r="I186" s="3">
        <v>249.99</v>
      </c>
      <c r="J186" s="3" t="s">
        <v>26</v>
      </c>
      <c r="K186" s="3" t="s">
        <v>35</v>
      </c>
      <c r="L186" s="3" t="s">
        <v>22</v>
      </c>
      <c r="M186" s="4">
        <v>45330</v>
      </c>
      <c r="N186" s="3">
        <v>1249.95</v>
      </c>
      <c r="O186">
        <f t="shared" ca="1" si="2"/>
        <v>0</v>
      </c>
    </row>
    <row r="187" spans="1:15" ht="15" thickBot="1" x14ac:dyDescent="0.35">
      <c r="A187" s="3" t="s">
        <v>332</v>
      </c>
      <c r="B187" s="4">
        <v>45668</v>
      </c>
      <c r="C187" s="3" t="s">
        <v>138</v>
      </c>
      <c r="D187" s="3" t="s">
        <v>139</v>
      </c>
      <c r="E187" s="3" t="s">
        <v>52</v>
      </c>
      <c r="F187" s="3" t="s">
        <v>53</v>
      </c>
      <c r="G187" s="3" t="s">
        <v>19</v>
      </c>
      <c r="H187" s="3">
        <v>4</v>
      </c>
      <c r="I187" s="3">
        <v>149.99</v>
      </c>
      <c r="J187" s="3" t="s">
        <v>57</v>
      </c>
      <c r="K187" s="3" t="s">
        <v>63</v>
      </c>
      <c r="L187" s="3" t="s">
        <v>36</v>
      </c>
      <c r="M187" s="4">
        <v>44536</v>
      </c>
      <c r="N187" s="3">
        <v>599.96</v>
      </c>
      <c r="O187">
        <f t="shared" ca="1" si="2"/>
        <v>0</v>
      </c>
    </row>
    <row r="188" spans="1:15" ht="15" thickBot="1" x14ac:dyDescent="0.35">
      <c r="A188" s="3" t="s">
        <v>333</v>
      </c>
      <c r="B188" s="4">
        <v>45668</v>
      </c>
      <c r="C188" s="3" t="s">
        <v>78</v>
      </c>
      <c r="D188" s="3" t="s">
        <v>79</v>
      </c>
      <c r="E188" s="3" t="s">
        <v>80</v>
      </c>
      <c r="F188" s="3" t="s">
        <v>81</v>
      </c>
      <c r="G188" s="3" t="s">
        <v>19</v>
      </c>
      <c r="H188" s="3">
        <v>3</v>
      </c>
      <c r="I188" s="3">
        <v>699.99</v>
      </c>
      <c r="J188" s="3" t="s">
        <v>20</v>
      </c>
      <c r="K188" s="3" t="s">
        <v>40</v>
      </c>
      <c r="L188" s="3" t="s">
        <v>27</v>
      </c>
      <c r="M188" s="4">
        <v>44602</v>
      </c>
      <c r="N188" s="3">
        <v>2099.9699999999998</v>
      </c>
      <c r="O188">
        <f t="shared" ca="1" si="2"/>
        <v>0</v>
      </c>
    </row>
    <row r="189" spans="1:15" ht="15" thickBot="1" x14ac:dyDescent="0.35">
      <c r="A189" s="3" t="s">
        <v>334</v>
      </c>
      <c r="B189" s="4">
        <v>45670</v>
      </c>
      <c r="C189" s="3" t="s">
        <v>293</v>
      </c>
      <c r="D189" s="3" t="s">
        <v>294</v>
      </c>
      <c r="E189" s="3" t="s">
        <v>114</v>
      </c>
      <c r="F189" s="3" t="s">
        <v>115</v>
      </c>
      <c r="G189" s="3" t="s">
        <v>33</v>
      </c>
      <c r="H189" s="3">
        <v>1</v>
      </c>
      <c r="I189" s="3">
        <v>79.989999999999995</v>
      </c>
      <c r="J189" s="3" t="s">
        <v>26</v>
      </c>
      <c r="K189" s="3" t="s">
        <v>35</v>
      </c>
      <c r="L189" s="3" t="s">
        <v>22</v>
      </c>
      <c r="M189" s="4">
        <v>45322</v>
      </c>
      <c r="N189" s="3">
        <v>79.989999999999995</v>
      </c>
      <c r="O189">
        <f t="shared" ca="1" si="2"/>
        <v>0</v>
      </c>
    </row>
    <row r="190" spans="1:15" ht="15" thickBot="1" x14ac:dyDescent="0.35">
      <c r="A190" s="3" t="s">
        <v>335</v>
      </c>
      <c r="B190" s="4">
        <v>45670</v>
      </c>
      <c r="C190" s="3" t="s">
        <v>86</v>
      </c>
      <c r="D190" s="3" t="s">
        <v>87</v>
      </c>
      <c r="E190" s="3" t="s">
        <v>105</v>
      </c>
      <c r="F190" s="3" t="s">
        <v>106</v>
      </c>
      <c r="G190" s="3" t="s">
        <v>46</v>
      </c>
      <c r="H190" s="3">
        <v>1</v>
      </c>
      <c r="I190" s="3">
        <v>299.99</v>
      </c>
      <c r="J190" s="3" t="s">
        <v>26</v>
      </c>
      <c r="K190" s="3" t="s">
        <v>40</v>
      </c>
      <c r="L190" s="3" t="s">
        <v>22</v>
      </c>
      <c r="M190" s="4">
        <v>44436</v>
      </c>
      <c r="N190" s="3">
        <v>299.99</v>
      </c>
      <c r="O190">
        <f t="shared" ca="1" si="2"/>
        <v>0</v>
      </c>
    </row>
    <row r="191" spans="1:15" ht="15" thickBot="1" x14ac:dyDescent="0.35">
      <c r="A191" s="3" t="s">
        <v>336</v>
      </c>
      <c r="B191" s="4">
        <v>45671</v>
      </c>
      <c r="C191" s="3" t="s">
        <v>158</v>
      </c>
      <c r="D191" s="3" t="s">
        <v>159</v>
      </c>
      <c r="E191" s="3" t="s">
        <v>17</v>
      </c>
      <c r="F191" s="3" t="s">
        <v>18</v>
      </c>
      <c r="G191" s="3" t="s">
        <v>19</v>
      </c>
      <c r="H191" s="3">
        <v>4</v>
      </c>
      <c r="I191" s="3">
        <v>249.99</v>
      </c>
      <c r="J191" s="3" t="s">
        <v>26</v>
      </c>
      <c r="K191" s="3" t="s">
        <v>40</v>
      </c>
      <c r="L191" s="3" t="s">
        <v>27</v>
      </c>
      <c r="M191" s="4">
        <v>44460</v>
      </c>
      <c r="N191" s="3">
        <v>999.96</v>
      </c>
      <c r="O191">
        <f t="shared" ca="1" si="2"/>
        <v>0</v>
      </c>
    </row>
    <row r="192" spans="1:15" ht="15" thickBot="1" x14ac:dyDescent="0.35">
      <c r="A192" s="3" t="s">
        <v>337</v>
      </c>
      <c r="B192" s="4">
        <v>45671</v>
      </c>
      <c r="C192" s="3" t="s">
        <v>120</v>
      </c>
      <c r="D192" s="3" t="s">
        <v>121</v>
      </c>
      <c r="E192" s="3" t="s">
        <v>52</v>
      </c>
      <c r="F192" s="3" t="s">
        <v>53</v>
      </c>
      <c r="G192" s="3" t="s">
        <v>19</v>
      </c>
      <c r="H192" s="3">
        <v>2</v>
      </c>
      <c r="I192" s="3">
        <v>149.99</v>
      </c>
      <c r="J192" s="3" t="s">
        <v>20</v>
      </c>
      <c r="K192" s="3" t="s">
        <v>40</v>
      </c>
      <c r="L192" s="3" t="s">
        <v>36</v>
      </c>
      <c r="M192" s="4">
        <v>44913</v>
      </c>
      <c r="N192" s="3">
        <v>299.98</v>
      </c>
      <c r="O192">
        <f t="shared" ca="1" si="2"/>
        <v>0</v>
      </c>
    </row>
    <row r="193" spans="1:15" ht="15" thickBot="1" x14ac:dyDescent="0.35">
      <c r="A193" s="3" t="s">
        <v>338</v>
      </c>
      <c r="B193" s="4">
        <v>45671</v>
      </c>
      <c r="C193" s="3" t="s">
        <v>234</v>
      </c>
      <c r="D193" s="3" t="s">
        <v>235</v>
      </c>
      <c r="E193" s="3" t="s">
        <v>105</v>
      </c>
      <c r="F193" s="3" t="s">
        <v>106</v>
      </c>
      <c r="G193" s="3" t="s">
        <v>46</v>
      </c>
      <c r="H193" s="3">
        <v>3</v>
      </c>
      <c r="I193" s="3">
        <v>299.99</v>
      </c>
      <c r="J193" s="3" t="s">
        <v>26</v>
      </c>
      <c r="K193" s="3" t="s">
        <v>35</v>
      </c>
      <c r="L193" s="3" t="s">
        <v>22</v>
      </c>
      <c r="M193" s="4">
        <v>45204</v>
      </c>
      <c r="N193" s="3">
        <v>899.97</v>
      </c>
      <c r="O193">
        <f t="shared" ca="1" si="2"/>
        <v>0</v>
      </c>
    </row>
    <row r="194" spans="1:15" ht="15" thickBot="1" x14ac:dyDescent="0.35">
      <c r="A194" s="3" t="s">
        <v>339</v>
      </c>
      <c r="B194" s="4">
        <v>45673</v>
      </c>
      <c r="C194" s="3" t="s">
        <v>226</v>
      </c>
      <c r="D194" s="3" t="s">
        <v>227</v>
      </c>
      <c r="E194" s="3" t="s">
        <v>126</v>
      </c>
      <c r="F194" s="3" t="s">
        <v>127</v>
      </c>
      <c r="G194" s="3" t="s">
        <v>46</v>
      </c>
      <c r="H194" s="3">
        <v>4</v>
      </c>
      <c r="I194" s="3">
        <v>199.99</v>
      </c>
      <c r="J194" s="3" t="s">
        <v>57</v>
      </c>
      <c r="K194" s="3" t="s">
        <v>35</v>
      </c>
      <c r="L194" s="3" t="s">
        <v>36</v>
      </c>
      <c r="M194" s="4">
        <v>44544</v>
      </c>
      <c r="N194" s="3">
        <v>799.96</v>
      </c>
      <c r="O194">
        <f t="shared" ca="1" si="2"/>
        <v>0</v>
      </c>
    </row>
    <row r="195" spans="1:15" ht="15" thickBot="1" x14ac:dyDescent="0.35">
      <c r="A195" s="3" t="s">
        <v>340</v>
      </c>
      <c r="B195" s="4">
        <v>45673</v>
      </c>
      <c r="C195" s="3" t="s">
        <v>211</v>
      </c>
      <c r="D195" s="3" t="s">
        <v>212</v>
      </c>
      <c r="E195" s="3" t="s">
        <v>105</v>
      </c>
      <c r="F195" s="3" t="s">
        <v>106</v>
      </c>
      <c r="G195" s="3" t="s">
        <v>46</v>
      </c>
      <c r="H195" s="3">
        <v>5</v>
      </c>
      <c r="I195" s="3">
        <v>299.99</v>
      </c>
      <c r="J195" s="3" t="s">
        <v>57</v>
      </c>
      <c r="K195" s="3" t="s">
        <v>21</v>
      </c>
      <c r="L195" s="3" t="s">
        <v>22</v>
      </c>
      <c r="M195" s="4">
        <v>44431</v>
      </c>
      <c r="N195" s="3">
        <v>1499.95</v>
      </c>
      <c r="O195">
        <f t="shared" ref="O195:O251" ca="1" si="3">IF(A195&lt;&gt;"",IF(O195="",NOW(),O195),"")</f>
        <v>0</v>
      </c>
    </row>
    <row r="196" spans="1:15" ht="15" thickBot="1" x14ac:dyDescent="0.35">
      <c r="A196" s="3" t="s">
        <v>341</v>
      </c>
      <c r="B196" s="4">
        <v>45673</v>
      </c>
      <c r="C196" s="3" t="s">
        <v>59</v>
      </c>
      <c r="D196" s="3" t="s">
        <v>60</v>
      </c>
      <c r="E196" s="3" t="s">
        <v>44</v>
      </c>
      <c r="F196" s="3" t="s">
        <v>45</v>
      </c>
      <c r="G196" s="3" t="s">
        <v>46</v>
      </c>
      <c r="H196" s="3">
        <v>3</v>
      </c>
      <c r="I196" s="3">
        <v>149.99</v>
      </c>
      <c r="J196" s="3" t="s">
        <v>26</v>
      </c>
      <c r="K196" s="3" t="s">
        <v>63</v>
      </c>
      <c r="L196" s="3" t="s">
        <v>36</v>
      </c>
      <c r="M196" s="4">
        <v>44395</v>
      </c>
      <c r="N196" s="3">
        <v>449.97</v>
      </c>
      <c r="O196">
        <f t="shared" ca="1" si="3"/>
        <v>0</v>
      </c>
    </row>
    <row r="197" spans="1:15" ht="15" thickBot="1" x14ac:dyDescent="0.35">
      <c r="A197" s="3" t="s">
        <v>342</v>
      </c>
      <c r="B197" s="4">
        <v>45676</v>
      </c>
      <c r="C197" s="3" t="s">
        <v>129</v>
      </c>
      <c r="D197" s="3" t="s">
        <v>130</v>
      </c>
      <c r="E197" s="3" t="s">
        <v>31</v>
      </c>
      <c r="F197" s="3" t="s">
        <v>32</v>
      </c>
      <c r="G197" s="3" t="s">
        <v>33</v>
      </c>
      <c r="H197" s="3">
        <v>5</v>
      </c>
      <c r="I197" s="3">
        <v>59.99</v>
      </c>
      <c r="J197" s="3" t="s">
        <v>57</v>
      </c>
      <c r="K197" s="3" t="s">
        <v>63</v>
      </c>
      <c r="L197" s="3" t="s">
        <v>22</v>
      </c>
      <c r="M197" s="4">
        <v>44642</v>
      </c>
      <c r="N197" s="3">
        <v>299.95</v>
      </c>
      <c r="O197">
        <f t="shared" ca="1" si="3"/>
        <v>0</v>
      </c>
    </row>
    <row r="198" spans="1:15" ht="15" thickBot="1" x14ac:dyDescent="0.35">
      <c r="A198" s="3" t="s">
        <v>343</v>
      </c>
      <c r="B198" s="4">
        <v>45682</v>
      </c>
      <c r="C198" s="3" t="s">
        <v>68</v>
      </c>
      <c r="D198" s="3" t="s">
        <v>69</v>
      </c>
      <c r="E198" s="3" t="s">
        <v>31</v>
      </c>
      <c r="F198" s="3" t="s">
        <v>32</v>
      </c>
      <c r="G198" s="3" t="s">
        <v>33</v>
      </c>
      <c r="H198" s="3">
        <v>4</v>
      </c>
      <c r="I198" s="3">
        <v>59.99</v>
      </c>
      <c r="J198" s="3" t="s">
        <v>57</v>
      </c>
      <c r="K198" s="3" t="s">
        <v>63</v>
      </c>
      <c r="L198" s="3" t="s">
        <v>36</v>
      </c>
      <c r="M198" s="4">
        <v>44564</v>
      </c>
      <c r="N198" s="3">
        <v>239.96</v>
      </c>
      <c r="O198">
        <f t="shared" ca="1" si="3"/>
        <v>0</v>
      </c>
    </row>
    <row r="199" spans="1:15" ht="15" thickBot="1" x14ac:dyDescent="0.35">
      <c r="A199" s="3" t="s">
        <v>344</v>
      </c>
      <c r="B199" s="4">
        <v>45683</v>
      </c>
      <c r="C199" s="3" t="s">
        <v>48</v>
      </c>
      <c r="D199" s="3" t="s">
        <v>49</v>
      </c>
      <c r="E199" s="3" t="s">
        <v>17</v>
      </c>
      <c r="F199" s="3" t="s">
        <v>18</v>
      </c>
      <c r="G199" s="3" t="s">
        <v>19</v>
      </c>
      <c r="H199" s="3">
        <v>4</v>
      </c>
      <c r="I199" s="3">
        <v>249.99</v>
      </c>
      <c r="J199" s="3" t="s">
        <v>57</v>
      </c>
      <c r="K199" s="3" t="s">
        <v>21</v>
      </c>
      <c r="L199" s="3" t="s">
        <v>27</v>
      </c>
      <c r="M199" s="4">
        <v>45217</v>
      </c>
      <c r="N199" s="3">
        <v>999.96</v>
      </c>
      <c r="O199">
        <f t="shared" ca="1" si="3"/>
        <v>0</v>
      </c>
    </row>
    <row r="200" spans="1:15" ht="15" thickBot="1" x14ac:dyDescent="0.35">
      <c r="A200" s="3" t="s">
        <v>345</v>
      </c>
      <c r="B200" s="4">
        <v>45686</v>
      </c>
      <c r="C200" s="3" t="s">
        <v>252</v>
      </c>
      <c r="D200" s="3" t="s">
        <v>253</v>
      </c>
      <c r="E200" s="3" t="s">
        <v>61</v>
      </c>
      <c r="F200" s="3" t="s">
        <v>62</v>
      </c>
      <c r="G200" s="3" t="s">
        <v>19</v>
      </c>
      <c r="H200" s="3">
        <v>4</v>
      </c>
      <c r="I200" s="3">
        <v>899.99</v>
      </c>
      <c r="J200" s="3" t="s">
        <v>34</v>
      </c>
      <c r="K200" s="3" t="s">
        <v>21</v>
      </c>
      <c r="L200" s="3" t="s">
        <v>22</v>
      </c>
      <c r="M200" s="4">
        <v>44734</v>
      </c>
      <c r="N200" s="3">
        <v>3599.96</v>
      </c>
      <c r="O200">
        <f t="shared" ca="1" si="3"/>
        <v>0</v>
      </c>
    </row>
    <row r="201" spans="1:15" ht="15" thickBot="1" x14ac:dyDescent="0.35">
      <c r="A201" s="3" t="s">
        <v>346</v>
      </c>
      <c r="B201" s="4">
        <v>45686</v>
      </c>
      <c r="C201" s="3" t="s">
        <v>86</v>
      </c>
      <c r="D201" s="3" t="s">
        <v>87</v>
      </c>
      <c r="E201" s="3" t="s">
        <v>105</v>
      </c>
      <c r="F201" s="3" t="s">
        <v>106</v>
      </c>
      <c r="G201" s="3" t="s">
        <v>46</v>
      </c>
      <c r="H201" s="3">
        <v>3</v>
      </c>
      <c r="I201" s="3">
        <v>299.99</v>
      </c>
      <c r="J201" s="3" t="s">
        <v>57</v>
      </c>
      <c r="K201" s="3" t="s">
        <v>50</v>
      </c>
      <c r="L201" s="3" t="s">
        <v>36</v>
      </c>
      <c r="M201" s="4">
        <v>44952</v>
      </c>
      <c r="N201" s="3">
        <v>899.97</v>
      </c>
      <c r="O201">
        <f t="shared" ca="1" si="3"/>
        <v>0</v>
      </c>
    </row>
    <row r="202" spans="1:15" ht="15" thickBot="1" x14ac:dyDescent="0.35">
      <c r="A202" s="3" t="s">
        <v>347</v>
      </c>
      <c r="B202" s="4">
        <v>45686</v>
      </c>
      <c r="C202" s="3" t="s">
        <v>293</v>
      </c>
      <c r="D202" s="3" t="s">
        <v>294</v>
      </c>
      <c r="E202" s="3" t="s">
        <v>80</v>
      </c>
      <c r="F202" s="3" t="s">
        <v>81</v>
      </c>
      <c r="G202" s="3" t="s">
        <v>19</v>
      </c>
      <c r="H202" s="3">
        <v>2</v>
      </c>
      <c r="I202" s="3">
        <v>699.99</v>
      </c>
      <c r="J202" s="3" t="s">
        <v>57</v>
      </c>
      <c r="K202" s="3" t="s">
        <v>21</v>
      </c>
      <c r="L202" s="3" t="s">
        <v>27</v>
      </c>
      <c r="M202" s="4">
        <v>44681</v>
      </c>
      <c r="N202" s="3">
        <v>1399.98</v>
      </c>
      <c r="O202">
        <f t="shared" ca="1" si="3"/>
        <v>0</v>
      </c>
    </row>
    <row r="203" spans="1:15" ht="15" thickBot="1" x14ac:dyDescent="0.35">
      <c r="A203" s="3" t="s">
        <v>348</v>
      </c>
      <c r="B203" s="4">
        <v>45688</v>
      </c>
      <c r="C203" s="3" t="s">
        <v>65</v>
      </c>
      <c r="D203" s="3" t="s">
        <v>66</v>
      </c>
      <c r="E203" s="3" t="s">
        <v>80</v>
      </c>
      <c r="F203" s="3" t="s">
        <v>81</v>
      </c>
      <c r="G203" s="3" t="s">
        <v>19</v>
      </c>
      <c r="H203" s="3">
        <v>4</v>
      </c>
      <c r="I203" s="3">
        <v>699.99</v>
      </c>
      <c r="J203" s="3" t="s">
        <v>57</v>
      </c>
      <c r="K203" s="3" t="s">
        <v>50</v>
      </c>
      <c r="L203" s="3" t="s">
        <v>27</v>
      </c>
      <c r="M203" s="4">
        <v>44692</v>
      </c>
      <c r="N203" s="3">
        <v>2799.96</v>
      </c>
      <c r="O203">
        <f t="shared" ca="1" si="3"/>
        <v>0</v>
      </c>
    </row>
    <row r="204" spans="1:15" ht="15" thickBot="1" x14ac:dyDescent="0.35">
      <c r="A204" s="3" t="s">
        <v>349</v>
      </c>
      <c r="B204" s="4">
        <v>45688</v>
      </c>
      <c r="C204" s="3" t="s">
        <v>123</v>
      </c>
      <c r="D204" s="3" t="s">
        <v>124</v>
      </c>
      <c r="E204" s="3" t="s">
        <v>117</v>
      </c>
      <c r="F204" s="3" t="s">
        <v>118</v>
      </c>
      <c r="G204" s="3" t="s">
        <v>19</v>
      </c>
      <c r="H204" s="3">
        <v>2</v>
      </c>
      <c r="I204" s="3">
        <v>89.99</v>
      </c>
      <c r="J204" s="3" t="s">
        <v>57</v>
      </c>
      <c r="K204" s="3" t="s">
        <v>35</v>
      </c>
      <c r="L204" s="3" t="s">
        <v>22</v>
      </c>
      <c r="M204" s="4">
        <v>44777</v>
      </c>
      <c r="N204" s="3">
        <v>179.98</v>
      </c>
      <c r="O204">
        <f t="shared" ca="1" si="3"/>
        <v>0</v>
      </c>
    </row>
    <row r="205" spans="1:15" ht="15" thickBot="1" x14ac:dyDescent="0.35">
      <c r="A205" s="3" t="s">
        <v>350</v>
      </c>
      <c r="B205" s="4">
        <v>45688</v>
      </c>
      <c r="C205" s="3" t="s">
        <v>42</v>
      </c>
      <c r="D205" s="3" t="s">
        <v>43</v>
      </c>
      <c r="E205" s="3" t="s">
        <v>117</v>
      </c>
      <c r="F205" s="3" t="s">
        <v>118</v>
      </c>
      <c r="G205" s="3" t="s">
        <v>19</v>
      </c>
      <c r="H205" s="3">
        <v>3</v>
      </c>
      <c r="I205" s="3">
        <v>89.99</v>
      </c>
      <c r="J205" s="3" t="s">
        <v>57</v>
      </c>
      <c r="K205" s="3" t="s">
        <v>35</v>
      </c>
      <c r="L205" s="3" t="s">
        <v>27</v>
      </c>
      <c r="M205" s="4">
        <v>45307</v>
      </c>
      <c r="N205" s="3">
        <v>269.97000000000003</v>
      </c>
      <c r="O205">
        <f t="shared" ca="1" si="3"/>
        <v>0</v>
      </c>
    </row>
    <row r="206" spans="1:15" ht="15" thickBot="1" x14ac:dyDescent="0.35">
      <c r="A206" s="3" t="s">
        <v>351</v>
      </c>
      <c r="B206" s="4">
        <v>45692</v>
      </c>
      <c r="C206" s="3" t="s">
        <v>325</v>
      </c>
      <c r="D206" s="3" t="s">
        <v>326</v>
      </c>
      <c r="E206" s="3" t="s">
        <v>31</v>
      </c>
      <c r="F206" s="3" t="s">
        <v>32</v>
      </c>
      <c r="G206" s="3" t="s">
        <v>33</v>
      </c>
      <c r="H206" s="3">
        <v>1</v>
      </c>
      <c r="I206" s="3">
        <v>59.99</v>
      </c>
      <c r="J206" s="3" t="s">
        <v>57</v>
      </c>
      <c r="K206" s="3" t="s">
        <v>21</v>
      </c>
      <c r="L206" s="3" t="s">
        <v>36</v>
      </c>
      <c r="M206" s="4">
        <v>45045</v>
      </c>
      <c r="N206" s="3">
        <v>59.99</v>
      </c>
      <c r="O206">
        <f t="shared" ca="1" si="3"/>
        <v>0</v>
      </c>
    </row>
    <row r="207" spans="1:15" ht="15" thickBot="1" x14ac:dyDescent="0.35">
      <c r="A207" s="3" t="s">
        <v>352</v>
      </c>
      <c r="B207" s="4">
        <v>45695</v>
      </c>
      <c r="C207" s="3" t="s">
        <v>246</v>
      </c>
      <c r="D207" s="3" t="s">
        <v>247</v>
      </c>
      <c r="E207" s="3" t="s">
        <v>44</v>
      </c>
      <c r="F207" s="3" t="s">
        <v>45</v>
      </c>
      <c r="G207" s="3" t="s">
        <v>46</v>
      </c>
      <c r="H207" s="3">
        <v>3</v>
      </c>
      <c r="I207" s="3">
        <v>149.99</v>
      </c>
      <c r="J207" s="3" t="s">
        <v>57</v>
      </c>
      <c r="K207" s="3" t="s">
        <v>40</v>
      </c>
      <c r="L207" s="3" t="s">
        <v>27</v>
      </c>
      <c r="M207" s="4">
        <v>44564</v>
      </c>
      <c r="N207" s="3">
        <v>449.97</v>
      </c>
      <c r="O207">
        <f t="shared" ca="1" si="3"/>
        <v>0</v>
      </c>
    </row>
    <row r="208" spans="1:15" ht="15" thickBot="1" x14ac:dyDescent="0.35">
      <c r="A208" s="3" t="s">
        <v>353</v>
      </c>
      <c r="B208" s="4">
        <v>45695</v>
      </c>
      <c r="C208" s="3" t="s">
        <v>93</v>
      </c>
      <c r="D208" s="3" t="s">
        <v>94</v>
      </c>
      <c r="E208" s="3" t="s">
        <v>105</v>
      </c>
      <c r="F208" s="3" t="s">
        <v>106</v>
      </c>
      <c r="G208" s="3" t="s">
        <v>46</v>
      </c>
      <c r="H208" s="3">
        <v>5</v>
      </c>
      <c r="I208" s="3">
        <v>299.99</v>
      </c>
      <c r="J208" s="3" t="s">
        <v>26</v>
      </c>
      <c r="K208" s="3" t="s">
        <v>35</v>
      </c>
      <c r="L208" s="3" t="s">
        <v>22</v>
      </c>
      <c r="M208" s="4">
        <v>44959</v>
      </c>
      <c r="N208" s="3">
        <v>1499.95</v>
      </c>
      <c r="O208">
        <f t="shared" ca="1" si="3"/>
        <v>0</v>
      </c>
    </row>
    <row r="209" spans="1:15" ht="15" thickBot="1" x14ac:dyDescent="0.35">
      <c r="A209" s="3" t="s">
        <v>354</v>
      </c>
      <c r="B209" s="4">
        <v>45696</v>
      </c>
      <c r="C209" s="3" t="s">
        <v>150</v>
      </c>
      <c r="D209" s="3" t="s">
        <v>151</v>
      </c>
      <c r="E209" s="3" t="s">
        <v>31</v>
      </c>
      <c r="F209" s="3" t="s">
        <v>32</v>
      </c>
      <c r="G209" s="3" t="s">
        <v>33</v>
      </c>
      <c r="H209" s="3">
        <v>5</v>
      </c>
      <c r="I209" s="3">
        <v>59.99</v>
      </c>
      <c r="J209" s="3" t="s">
        <v>57</v>
      </c>
      <c r="K209" s="3" t="s">
        <v>21</v>
      </c>
      <c r="L209" s="3" t="s">
        <v>36</v>
      </c>
      <c r="M209" s="4">
        <v>45177</v>
      </c>
      <c r="N209" s="3">
        <v>299.95</v>
      </c>
      <c r="O209">
        <f t="shared" ca="1" si="3"/>
        <v>0</v>
      </c>
    </row>
    <row r="210" spans="1:15" ht="15" thickBot="1" x14ac:dyDescent="0.35">
      <c r="A210" s="3" t="s">
        <v>355</v>
      </c>
      <c r="B210" s="4">
        <v>45701</v>
      </c>
      <c r="C210" s="3" t="s">
        <v>108</v>
      </c>
      <c r="D210" s="3" t="s">
        <v>109</v>
      </c>
      <c r="E210" s="3" t="s">
        <v>114</v>
      </c>
      <c r="F210" s="3" t="s">
        <v>115</v>
      </c>
      <c r="G210" s="3" t="s">
        <v>33</v>
      </c>
      <c r="H210" s="3">
        <v>3</v>
      </c>
      <c r="I210" s="3">
        <v>79.989999999999995</v>
      </c>
      <c r="J210" s="3" t="s">
        <v>20</v>
      </c>
      <c r="K210" s="3" t="s">
        <v>63</v>
      </c>
      <c r="L210" s="3" t="s">
        <v>27</v>
      </c>
      <c r="M210" s="4">
        <v>44436</v>
      </c>
      <c r="N210" s="3">
        <v>239.97</v>
      </c>
      <c r="O210">
        <f t="shared" ca="1" si="3"/>
        <v>0</v>
      </c>
    </row>
    <row r="211" spans="1:15" ht="15" thickBot="1" x14ac:dyDescent="0.35">
      <c r="A211" s="3" t="s">
        <v>356</v>
      </c>
      <c r="B211" s="4">
        <v>45704</v>
      </c>
      <c r="C211" s="3" t="s">
        <v>29</v>
      </c>
      <c r="D211" s="3" t="s">
        <v>30</v>
      </c>
      <c r="E211" s="3" t="s">
        <v>126</v>
      </c>
      <c r="F211" s="3" t="s">
        <v>127</v>
      </c>
      <c r="G211" s="3" t="s">
        <v>46</v>
      </c>
      <c r="H211" s="3">
        <v>3</v>
      </c>
      <c r="I211" s="3">
        <v>199.99</v>
      </c>
      <c r="J211" s="3" t="s">
        <v>20</v>
      </c>
      <c r="K211" s="3" t="s">
        <v>21</v>
      </c>
      <c r="L211" s="3" t="s">
        <v>22</v>
      </c>
      <c r="M211" s="4">
        <v>44735</v>
      </c>
      <c r="N211" s="3">
        <v>599.97</v>
      </c>
      <c r="O211">
        <f t="shared" ca="1" si="3"/>
        <v>0</v>
      </c>
    </row>
    <row r="212" spans="1:15" ht="15" thickBot="1" x14ac:dyDescent="0.35">
      <c r="A212" s="3" t="s">
        <v>357</v>
      </c>
      <c r="B212" s="4">
        <v>45704</v>
      </c>
      <c r="C212" s="3" t="s">
        <v>15</v>
      </c>
      <c r="D212" s="3" t="s">
        <v>16</v>
      </c>
      <c r="E212" s="3" t="s">
        <v>117</v>
      </c>
      <c r="F212" s="3" t="s">
        <v>118</v>
      </c>
      <c r="G212" s="3" t="s">
        <v>19</v>
      </c>
      <c r="H212" s="3">
        <v>2</v>
      </c>
      <c r="I212" s="3">
        <v>89.99</v>
      </c>
      <c r="J212" s="3" t="s">
        <v>34</v>
      </c>
      <c r="K212" s="3" t="s">
        <v>21</v>
      </c>
      <c r="L212" s="3" t="s">
        <v>22</v>
      </c>
      <c r="M212" s="4">
        <v>45257</v>
      </c>
      <c r="N212" s="3">
        <v>179.98</v>
      </c>
      <c r="O212">
        <f t="shared" ca="1" si="3"/>
        <v>0</v>
      </c>
    </row>
    <row r="213" spans="1:15" ht="15" thickBot="1" x14ac:dyDescent="0.35">
      <c r="A213" s="3" t="s">
        <v>358</v>
      </c>
      <c r="B213" s="4">
        <v>45705</v>
      </c>
      <c r="C213" s="3" t="s">
        <v>259</v>
      </c>
      <c r="D213" s="3" t="s">
        <v>260</v>
      </c>
      <c r="E213" s="3" t="s">
        <v>44</v>
      </c>
      <c r="F213" s="3" t="s">
        <v>45</v>
      </c>
      <c r="G213" s="3" t="s">
        <v>46</v>
      </c>
      <c r="H213" s="3">
        <v>2</v>
      </c>
      <c r="I213" s="3">
        <v>149.99</v>
      </c>
      <c r="J213" s="3" t="s">
        <v>20</v>
      </c>
      <c r="K213" s="3" t="s">
        <v>35</v>
      </c>
      <c r="L213" s="3" t="s">
        <v>27</v>
      </c>
      <c r="M213" s="4">
        <v>44728</v>
      </c>
      <c r="N213" s="3">
        <v>299.98</v>
      </c>
      <c r="O213">
        <f t="shared" ca="1" si="3"/>
        <v>0</v>
      </c>
    </row>
    <row r="214" spans="1:15" ht="15" thickBot="1" x14ac:dyDescent="0.35">
      <c r="A214" s="3" t="s">
        <v>359</v>
      </c>
      <c r="B214" s="4">
        <v>45707</v>
      </c>
      <c r="C214" s="3" t="s">
        <v>123</v>
      </c>
      <c r="D214" s="3" t="s">
        <v>124</v>
      </c>
      <c r="E214" s="3" t="s">
        <v>80</v>
      </c>
      <c r="F214" s="3" t="s">
        <v>81</v>
      </c>
      <c r="G214" s="3" t="s">
        <v>19</v>
      </c>
      <c r="H214" s="3">
        <v>5</v>
      </c>
      <c r="I214" s="3">
        <v>699.99</v>
      </c>
      <c r="J214" s="3" t="s">
        <v>34</v>
      </c>
      <c r="K214" s="3" t="s">
        <v>35</v>
      </c>
      <c r="L214" s="3" t="s">
        <v>27</v>
      </c>
      <c r="M214" s="4">
        <v>45352</v>
      </c>
      <c r="N214" s="3">
        <v>3499.95</v>
      </c>
      <c r="O214">
        <f t="shared" ca="1" si="3"/>
        <v>0</v>
      </c>
    </row>
    <row r="215" spans="1:15" ht="15" thickBot="1" x14ac:dyDescent="0.35">
      <c r="A215" s="3" t="s">
        <v>360</v>
      </c>
      <c r="B215" s="4">
        <v>45707</v>
      </c>
      <c r="C215" s="3" t="s">
        <v>42</v>
      </c>
      <c r="D215" s="3" t="s">
        <v>43</v>
      </c>
      <c r="E215" s="3" t="s">
        <v>44</v>
      </c>
      <c r="F215" s="3" t="s">
        <v>45</v>
      </c>
      <c r="G215" s="3" t="s">
        <v>46</v>
      </c>
      <c r="H215" s="3">
        <v>3</v>
      </c>
      <c r="I215" s="3">
        <v>149.99</v>
      </c>
      <c r="J215" s="3" t="s">
        <v>34</v>
      </c>
      <c r="K215" s="3" t="s">
        <v>21</v>
      </c>
      <c r="L215" s="3" t="s">
        <v>36</v>
      </c>
      <c r="M215" s="4">
        <v>44633</v>
      </c>
      <c r="N215" s="3">
        <v>449.97</v>
      </c>
      <c r="O215">
        <f t="shared" ca="1" si="3"/>
        <v>0</v>
      </c>
    </row>
    <row r="216" spans="1:15" ht="15" thickBot="1" x14ac:dyDescent="0.35">
      <c r="A216" s="3" t="s">
        <v>361</v>
      </c>
      <c r="B216" s="4">
        <v>45708</v>
      </c>
      <c r="C216" s="3" t="s">
        <v>96</v>
      </c>
      <c r="D216" s="3" t="s">
        <v>97</v>
      </c>
      <c r="E216" s="3" t="s">
        <v>61</v>
      </c>
      <c r="F216" s="3" t="s">
        <v>62</v>
      </c>
      <c r="G216" s="3" t="s">
        <v>19</v>
      </c>
      <c r="H216" s="3">
        <v>3</v>
      </c>
      <c r="I216" s="3">
        <v>899.99</v>
      </c>
      <c r="J216" s="3" t="s">
        <v>20</v>
      </c>
      <c r="K216" s="3" t="s">
        <v>63</v>
      </c>
      <c r="L216" s="3" t="s">
        <v>36</v>
      </c>
      <c r="M216" s="4">
        <v>44613</v>
      </c>
      <c r="N216" s="3">
        <v>2699.97</v>
      </c>
      <c r="O216">
        <f t="shared" ca="1" si="3"/>
        <v>0</v>
      </c>
    </row>
    <row r="217" spans="1:15" ht="15" thickBot="1" x14ac:dyDescent="0.35">
      <c r="A217" s="3" t="s">
        <v>362</v>
      </c>
      <c r="B217" s="4">
        <v>45708</v>
      </c>
      <c r="C217" s="3" t="s">
        <v>192</v>
      </c>
      <c r="D217" s="3" t="s">
        <v>193</v>
      </c>
      <c r="E217" s="3" t="s">
        <v>126</v>
      </c>
      <c r="F217" s="3" t="s">
        <v>127</v>
      </c>
      <c r="G217" s="3" t="s">
        <v>46</v>
      </c>
      <c r="H217" s="3">
        <v>3</v>
      </c>
      <c r="I217" s="3">
        <v>199.99</v>
      </c>
      <c r="J217" s="3" t="s">
        <v>20</v>
      </c>
      <c r="K217" s="3" t="s">
        <v>50</v>
      </c>
      <c r="L217" s="3" t="s">
        <v>27</v>
      </c>
      <c r="M217" s="4">
        <v>44823</v>
      </c>
      <c r="N217" s="3">
        <v>599.97</v>
      </c>
      <c r="O217">
        <f t="shared" ca="1" si="3"/>
        <v>0</v>
      </c>
    </row>
    <row r="218" spans="1:15" ht="15" thickBot="1" x14ac:dyDescent="0.35">
      <c r="A218" s="3" t="s">
        <v>363</v>
      </c>
      <c r="B218" s="4">
        <v>45710</v>
      </c>
      <c r="C218" s="3" t="s">
        <v>55</v>
      </c>
      <c r="D218" s="3" t="s">
        <v>56</v>
      </c>
      <c r="E218" s="3" t="s">
        <v>105</v>
      </c>
      <c r="F218" s="3" t="s">
        <v>106</v>
      </c>
      <c r="G218" s="3" t="s">
        <v>46</v>
      </c>
      <c r="H218" s="3">
        <v>5</v>
      </c>
      <c r="I218" s="3">
        <v>299.99</v>
      </c>
      <c r="J218" s="3" t="s">
        <v>20</v>
      </c>
      <c r="K218" s="3" t="s">
        <v>50</v>
      </c>
      <c r="L218" s="3" t="s">
        <v>36</v>
      </c>
      <c r="M218" s="4">
        <v>45142</v>
      </c>
      <c r="N218" s="3">
        <v>1499.95</v>
      </c>
      <c r="O218">
        <f t="shared" ca="1" si="3"/>
        <v>0</v>
      </c>
    </row>
    <row r="219" spans="1:15" ht="15" thickBot="1" x14ac:dyDescent="0.35">
      <c r="A219" s="3" t="s">
        <v>364</v>
      </c>
      <c r="B219" s="4">
        <v>45710</v>
      </c>
      <c r="C219" s="3" t="s">
        <v>150</v>
      </c>
      <c r="D219" s="3" t="s">
        <v>151</v>
      </c>
      <c r="E219" s="3" t="s">
        <v>80</v>
      </c>
      <c r="F219" s="3" t="s">
        <v>81</v>
      </c>
      <c r="G219" s="3" t="s">
        <v>19</v>
      </c>
      <c r="H219" s="3">
        <v>1</v>
      </c>
      <c r="I219" s="3">
        <v>699.99</v>
      </c>
      <c r="J219" s="3" t="s">
        <v>34</v>
      </c>
      <c r="K219" s="3" t="s">
        <v>50</v>
      </c>
      <c r="L219" s="3" t="s">
        <v>22</v>
      </c>
      <c r="M219" s="4">
        <v>44934</v>
      </c>
      <c r="N219" s="3">
        <v>699.99</v>
      </c>
      <c r="O219">
        <f t="shared" ca="1" si="3"/>
        <v>0</v>
      </c>
    </row>
    <row r="220" spans="1:15" ht="15" thickBot="1" x14ac:dyDescent="0.35">
      <c r="A220" s="3" t="s">
        <v>365</v>
      </c>
      <c r="B220" s="4">
        <v>45711</v>
      </c>
      <c r="C220" s="3" t="s">
        <v>246</v>
      </c>
      <c r="D220" s="3" t="s">
        <v>247</v>
      </c>
      <c r="E220" s="3" t="s">
        <v>80</v>
      </c>
      <c r="F220" s="3" t="s">
        <v>81</v>
      </c>
      <c r="G220" s="3" t="s">
        <v>19</v>
      </c>
      <c r="H220" s="3">
        <v>1</v>
      </c>
      <c r="I220" s="3">
        <v>699.99</v>
      </c>
      <c r="J220" s="3" t="s">
        <v>20</v>
      </c>
      <c r="K220" s="3" t="s">
        <v>40</v>
      </c>
      <c r="L220" s="3" t="s">
        <v>27</v>
      </c>
      <c r="M220" s="4">
        <v>44583</v>
      </c>
      <c r="N220" s="3">
        <v>699.99</v>
      </c>
      <c r="O220">
        <f t="shared" ca="1" si="3"/>
        <v>0</v>
      </c>
    </row>
    <row r="221" spans="1:15" ht="15" thickBot="1" x14ac:dyDescent="0.35">
      <c r="A221" s="3" t="s">
        <v>366</v>
      </c>
      <c r="B221" s="4">
        <v>45711</v>
      </c>
      <c r="C221" s="3" t="s">
        <v>325</v>
      </c>
      <c r="D221" s="3" t="s">
        <v>326</v>
      </c>
      <c r="E221" s="3" t="s">
        <v>44</v>
      </c>
      <c r="F221" s="3" t="s">
        <v>45</v>
      </c>
      <c r="G221" s="3" t="s">
        <v>46</v>
      </c>
      <c r="H221" s="3">
        <v>4</v>
      </c>
      <c r="I221" s="3">
        <v>149.99</v>
      </c>
      <c r="J221" s="3" t="s">
        <v>34</v>
      </c>
      <c r="K221" s="3" t="s">
        <v>40</v>
      </c>
      <c r="L221" s="3" t="s">
        <v>27</v>
      </c>
      <c r="M221" s="4">
        <v>44412</v>
      </c>
      <c r="N221" s="3">
        <v>599.96</v>
      </c>
      <c r="O221">
        <f t="shared" ca="1" si="3"/>
        <v>0</v>
      </c>
    </row>
    <row r="222" spans="1:15" ht="15" thickBot="1" x14ac:dyDescent="0.35">
      <c r="A222" s="3" t="s">
        <v>367</v>
      </c>
      <c r="B222" s="4">
        <v>45711</v>
      </c>
      <c r="C222" s="3" t="s">
        <v>211</v>
      </c>
      <c r="D222" s="3" t="s">
        <v>212</v>
      </c>
      <c r="E222" s="3" t="s">
        <v>117</v>
      </c>
      <c r="F222" s="3" t="s">
        <v>118</v>
      </c>
      <c r="G222" s="3" t="s">
        <v>19</v>
      </c>
      <c r="H222" s="3">
        <v>5</v>
      </c>
      <c r="I222" s="3">
        <v>89.99</v>
      </c>
      <c r="J222" s="3" t="s">
        <v>34</v>
      </c>
      <c r="K222" s="3" t="s">
        <v>50</v>
      </c>
      <c r="L222" s="3" t="s">
        <v>27</v>
      </c>
      <c r="M222" s="4">
        <v>45140</v>
      </c>
      <c r="N222" s="3">
        <v>449.95</v>
      </c>
      <c r="O222">
        <f t="shared" ca="1" si="3"/>
        <v>0</v>
      </c>
    </row>
    <row r="223" spans="1:15" ht="15" thickBot="1" x14ac:dyDescent="0.35">
      <c r="A223" s="3" t="s">
        <v>368</v>
      </c>
      <c r="B223" s="4">
        <v>45712</v>
      </c>
      <c r="C223" s="3" t="s">
        <v>138</v>
      </c>
      <c r="D223" s="3" t="s">
        <v>139</v>
      </c>
      <c r="E223" s="3" t="s">
        <v>126</v>
      </c>
      <c r="F223" s="3" t="s">
        <v>127</v>
      </c>
      <c r="G223" s="3" t="s">
        <v>46</v>
      </c>
      <c r="H223" s="3">
        <v>2</v>
      </c>
      <c r="I223" s="3">
        <v>199.99</v>
      </c>
      <c r="J223" s="3" t="s">
        <v>20</v>
      </c>
      <c r="K223" s="3" t="s">
        <v>21</v>
      </c>
      <c r="L223" s="3" t="s">
        <v>27</v>
      </c>
      <c r="M223" s="4">
        <v>44573</v>
      </c>
      <c r="N223" s="3">
        <v>399.98</v>
      </c>
      <c r="O223">
        <f t="shared" ca="1" si="3"/>
        <v>0</v>
      </c>
    </row>
    <row r="224" spans="1:15" ht="15" thickBot="1" x14ac:dyDescent="0.35">
      <c r="A224" s="3" t="s">
        <v>369</v>
      </c>
      <c r="B224" s="4">
        <v>45715</v>
      </c>
      <c r="C224" s="3" t="s">
        <v>259</v>
      </c>
      <c r="D224" s="3" t="s">
        <v>260</v>
      </c>
      <c r="E224" s="3" t="s">
        <v>31</v>
      </c>
      <c r="F224" s="3" t="s">
        <v>32</v>
      </c>
      <c r="G224" s="3" t="s">
        <v>33</v>
      </c>
      <c r="H224" s="3">
        <v>4</v>
      </c>
      <c r="I224" s="3">
        <v>59.99</v>
      </c>
      <c r="J224" s="3" t="s">
        <v>20</v>
      </c>
      <c r="K224" s="3" t="s">
        <v>50</v>
      </c>
      <c r="L224" s="3" t="s">
        <v>36</v>
      </c>
      <c r="M224" s="4">
        <v>45070</v>
      </c>
      <c r="N224" s="3">
        <v>239.96</v>
      </c>
      <c r="O224">
        <f t="shared" ca="1" si="3"/>
        <v>0</v>
      </c>
    </row>
    <row r="225" spans="1:15" ht="15" thickBot="1" x14ac:dyDescent="0.35">
      <c r="A225" s="3" t="s">
        <v>370</v>
      </c>
      <c r="B225" s="4">
        <v>45715</v>
      </c>
      <c r="C225" s="3" t="s">
        <v>93</v>
      </c>
      <c r="D225" s="3" t="s">
        <v>94</v>
      </c>
      <c r="E225" s="3" t="s">
        <v>105</v>
      </c>
      <c r="F225" s="3" t="s">
        <v>106</v>
      </c>
      <c r="G225" s="3" t="s">
        <v>46</v>
      </c>
      <c r="H225" s="3">
        <v>2</v>
      </c>
      <c r="I225" s="3">
        <v>299.99</v>
      </c>
      <c r="J225" s="3" t="s">
        <v>34</v>
      </c>
      <c r="K225" s="3" t="s">
        <v>35</v>
      </c>
      <c r="L225" s="3" t="s">
        <v>22</v>
      </c>
      <c r="M225" s="4">
        <v>44576</v>
      </c>
      <c r="N225" s="3">
        <v>599.98</v>
      </c>
      <c r="O225">
        <f t="shared" ca="1" si="3"/>
        <v>0</v>
      </c>
    </row>
    <row r="226" spans="1:15" ht="15" thickBot="1" x14ac:dyDescent="0.35">
      <c r="A226" s="3" t="s">
        <v>371</v>
      </c>
      <c r="B226" s="4">
        <v>45718</v>
      </c>
      <c r="C226" s="3" t="s">
        <v>55</v>
      </c>
      <c r="D226" s="3" t="s">
        <v>56</v>
      </c>
      <c r="E226" s="3" t="s">
        <v>44</v>
      </c>
      <c r="F226" s="3" t="s">
        <v>45</v>
      </c>
      <c r="G226" s="3" t="s">
        <v>46</v>
      </c>
      <c r="H226" s="3">
        <v>2</v>
      </c>
      <c r="I226" s="3">
        <v>149.99</v>
      </c>
      <c r="J226" s="3" t="s">
        <v>20</v>
      </c>
      <c r="K226" s="3" t="s">
        <v>21</v>
      </c>
      <c r="L226" s="3" t="s">
        <v>22</v>
      </c>
      <c r="M226" s="4">
        <v>45068</v>
      </c>
      <c r="N226" s="3">
        <v>299.98</v>
      </c>
      <c r="O226">
        <f t="shared" ca="1" si="3"/>
        <v>0</v>
      </c>
    </row>
    <row r="227" spans="1:15" ht="15" thickBot="1" x14ac:dyDescent="0.35">
      <c r="A227" s="3" t="s">
        <v>372</v>
      </c>
      <c r="B227" s="4">
        <v>45720</v>
      </c>
      <c r="C227" s="3" t="s">
        <v>226</v>
      </c>
      <c r="D227" s="3" t="s">
        <v>227</v>
      </c>
      <c r="E227" s="3" t="s">
        <v>80</v>
      </c>
      <c r="F227" s="3" t="s">
        <v>81</v>
      </c>
      <c r="G227" s="3" t="s">
        <v>19</v>
      </c>
      <c r="H227" s="3">
        <v>5</v>
      </c>
      <c r="I227" s="3">
        <v>699.99</v>
      </c>
      <c r="J227" s="3" t="s">
        <v>57</v>
      </c>
      <c r="K227" s="3" t="s">
        <v>63</v>
      </c>
      <c r="L227" s="3" t="s">
        <v>27</v>
      </c>
      <c r="M227" s="4">
        <v>45161</v>
      </c>
      <c r="N227" s="3">
        <v>3499.95</v>
      </c>
      <c r="O227">
        <f t="shared" ca="1" si="3"/>
        <v>0</v>
      </c>
    </row>
    <row r="228" spans="1:15" ht="15" thickBot="1" x14ac:dyDescent="0.35">
      <c r="A228" s="3" t="s">
        <v>373</v>
      </c>
      <c r="B228" s="4">
        <v>45721</v>
      </c>
      <c r="C228" s="3" t="s">
        <v>75</v>
      </c>
      <c r="D228" s="3" t="s">
        <v>76</v>
      </c>
      <c r="E228" s="3" t="s">
        <v>31</v>
      </c>
      <c r="F228" s="3" t="s">
        <v>32</v>
      </c>
      <c r="G228" s="3" t="s">
        <v>33</v>
      </c>
      <c r="H228" s="3">
        <v>5</v>
      </c>
      <c r="I228" s="3">
        <v>59.99</v>
      </c>
      <c r="J228" s="3" t="s">
        <v>20</v>
      </c>
      <c r="K228" s="3" t="s">
        <v>50</v>
      </c>
      <c r="L228" s="3" t="s">
        <v>27</v>
      </c>
      <c r="M228" s="4">
        <v>45291</v>
      </c>
      <c r="N228" s="3">
        <v>299.95</v>
      </c>
      <c r="O228">
        <f t="shared" ca="1" si="3"/>
        <v>0</v>
      </c>
    </row>
    <row r="229" spans="1:15" ht="15" thickBot="1" x14ac:dyDescent="0.35">
      <c r="A229" s="3" t="s">
        <v>374</v>
      </c>
      <c r="B229" s="4">
        <v>45723</v>
      </c>
      <c r="C229" s="3" t="s">
        <v>15</v>
      </c>
      <c r="D229" s="3" t="s">
        <v>16</v>
      </c>
      <c r="E229" s="3" t="s">
        <v>117</v>
      </c>
      <c r="F229" s="3" t="s">
        <v>118</v>
      </c>
      <c r="G229" s="3" t="s">
        <v>19</v>
      </c>
      <c r="H229" s="3">
        <v>2</v>
      </c>
      <c r="I229" s="3">
        <v>89.99</v>
      </c>
      <c r="J229" s="3" t="s">
        <v>26</v>
      </c>
      <c r="K229" s="3" t="s">
        <v>50</v>
      </c>
      <c r="L229" s="3" t="s">
        <v>27</v>
      </c>
      <c r="M229" s="4">
        <v>45295</v>
      </c>
      <c r="N229" s="3">
        <v>179.98</v>
      </c>
      <c r="O229">
        <f t="shared" ca="1" si="3"/>
        <v>0</v>
      </c>
    </row>
    <row r="230" spans="1:15" ht="15" thickBot="1" x14ac:dyDescent="0.35">
      <c r="A230" s="3" t="s">
        <v>375</v>
      </c>
      <c r="B230" s="4">
        <v>45723</v>
      </c>
      <c r="C230" s="3" t="s">
        <v>120</v>
      </c>
      <c r="D230" s="3" t="s">
        <v>121</v>
      </c>
      <c r="E230" s="3" t="s">
        <v>17</v>
      </c>
      <c r="F230" s="3" t="s">
        <v>18</v>
      </c>
      <c r="G230" s="3" t="s">
        <v>19</v>
      </c>
      <c r="H230" s="3">
        <v>5</v>
      </c>
      <c r="I230" s="3">
        <v>249.99</v>
      </c>
      <c r="J230" s="3" t="s">
        <v>20</v>
      </c>
      <c r="K230" s="3" t="s">
        <v>63</v>
      </c>
      <c r="L230" s="3" t="s">
        <v>36</v>
      </c>
      <c r="M230" s="4">
        <v>44540</v>
      </c>
      <c r="N230" s="3">
        <v>1249.95</v>
      </c>
      <c r="O230">
        <f t="shared" ca="1" si="3"/>
        <v>0</v>
      </c>
    </row>
    <row r="231" spans="1:15" ht="15" thickBot="1" x14ac:dyDescent="0.35">
      <c r="A231" s="3" t="s">
        <v>376</v>
      </c>
      <c r="B231" s="4">
        <v>45724</v>
      </c>
      <c r="C231" s="3" t="s">
        <v>226</v>
      </c>
      <c r="D231" s="3" t="s">
        <v>227</v>
      </c>
      <c r="E231" s="3" t="s">
        <v>44</v>
      </c>
      <c r="F231" s="3" t="s">
        <v>45</v>
      </c>
      <c r="G231" s="3" t="s">
        <v>46</v>
      </c>
      <c r="H231" s="3">
        <v>2</v>
      </c>
      <c r="I231" s="3">
        <v>149.99</v>
      </c>
      <c r="J231" s="3" t="s">
        <v>34</v>
      </c>
      <c r="K231" s="3" t="s">
        <v>21</v>
      </c>
      <c r="L231" s="3" t="s">
        <v>27</v>
      </c>
      <c r="M231" s="4">
        <v>44632</v>
      </c>
      <c r="N231" s="3">
        <v>299.98</v>
      </c>
      <c r="O231">
        <f t="shared" ca="1" si="3"/>
        <v>0</v>
      </c>
    </row>
    <row r="232" spans="1:15" ht="15" thickBot="1" x14ac:dyDescent="0.35">
      <c r="A232" s="3" t="s">
        <v>377</v>
      </c>
      <c r="B232" s="4">
        <v>45724</v>
      </c>
      <c r="C232" s="3" t="s">
        <v>144</v>
      </c>
      <c r="D232" s="3" t="s">
        <v>145</v>
      </c>
      <c r="E232" s="3" t="s">
        <v>61</v>
      </c>
      <c r="F232" s="3" t="s">
        <v>62</v>
      </c>
      <c r="G232" s="3" t="s">
        <v>19</v>
      </c>
      <c r="H232" s="3">
        <v>5</v>
      </c>
      <c r="I232" s="3">
        <v>899.99</v>
      </c>
      <c r="J232" s="3" t="s">
        <v>34</v>
      </c>
      <c r="K232" s="3" t="s">
        <v>63</v>
      </c>
      <c r="L232" s="3" t="s">
        <v>27</v>
      </c>
      <c r="M232" s="4">
        <v>45389</v>
      </c>
      <c r="N232" s="3">
        <v>4499.95</v>
      </c>
      <c r="O232">
        <f t="shared" ca="1" si="3"/>
        <v>0</v>
      </c>
    </row>
    <row r="233" spans="1:15" ht="15" thickBot="1" x14ac:dyDescent="0.35">
      <c r="A233" s="3" t="s">
        <v>378</v>
      </c>
      <c r="B233" s="4">
        <v>45724</v>
      </c>
      <c r="C233" s="3" t="s">
        <v>55</v>
      </c>
      <c r="D233" s="3" t="s">
        <v>56</v>
      </c>
      <c r="E233" s="3" t="s">
        <v>44</v>
      </c>
      <c r="F233" s="3" t="s">
        <v>45</v>
      </c>
      <c r="G233" s="3" t="s">
        <v>46</v>
      </c>
      <c r="H233" s="3">
        <v>4</v>
      </c>
      <c r="I233" s="3">
        <v>149.99</v>
      </c>
      <c r="J233" s="3" t="s">
        <v>20</v>
      </c>
      <c r="K233" s="3" t="s">
        <v>21</v>
      </c>
      <c r="L233" s="3" t="s">
        <v>36</v>
      </c>
      <c r="M233" s="4">
        <v>45263</v>
      </c>
      <c r="N233" s="3">
        <v>599.96</v>
      </c>
      <c r="O233">
        <f t="shared" ca="1" si="3"/>
        <v>0</v>
      </c>
    </row>
    <row r="234" spans="1:15" ht="15" thickBot="1" x14ac:dyDescent="0.35">
      <c r="A234" s="3" t="s">
        <v>379</v>
      </c>
      <c r="B234" s="4">
        <v>45726</v>
      </c>
      <c r="C234" s="3" t="s">
        <v>144</v>
      </c>
      <c r="D234" s="3" t="s">
        <v>145</v>
      </c>
      <c r="E234" s="3" t="s">
        <v>17</v>
      </c>
      <c r="F234" s="3" t="s">
        <v>18</v>
      </c>
      <c r="G234" s="3" t="s">
        <v>19</v>
      </c>
      <c r="H234" s="3">
        <v>1</v>
      </c>
      <c r="I234" s="3">
        <v>249.99</v>
      </c>
      <c r="J234" s="3" t="s">
        <v>20</v>
      </c>
      <c r="K234" s="3" t="s">
        <v>40</v>
      </c>
      <c r="L234" s="3" t="s">
        <v>36</v>
      </c>
      <c r="M234" s="4">
        <v>45117</v>
      </c>
      <c r="N234" s="3">
        <v>249.99</v>
      </c>
      <c r="O234">
        <f t="shared" ca="1" si="3"/>
        <v>0</v>
      </c>
    </row>
    <row r="235" spans="1:15" ht="15" thickBot="1" x14ac:dyDescent="0.35">
      <c r="A235" s="3" t="s">
        <v>380</v>
      </c>
      <c r="B235" s="4">
        <v>45734</v>
      </c>
      <c r="C235" s="3" t="s">
        <v>192</v>
      </c>
      <c r="D235" s="3" t="s">
        <v>193</v>
      </c>
      <c r="E235" s="3" t="s">
        <v>31</v>
      </c>
      <c r="F235" s="3" t="s">
        <v>32</v>
      </c>
      <c r="G235" s="3" t="s">
        <v>33</v>
      </c>
      <c r="H235" s="3">
        <v>2</v>
      </c>
      <c r="I235" s="3">
        <v>59.99</v>
      </c>
      <c r="J235" s="3" t="s">
        <v>26</v>
      </c>
      <c r="K235" s="3" t="s">
        <v>50</v>
      </c>
      <c r="L235" s="3" t="s">
        <v>22</v>
      </c>
      <c r="M235" s="4">
        <v>45193</v>
      </c>
      <c r="N235" s="3">
        <v>119.98</v>
      </c>
      <c r="O235">
        <f t="shared" ca="1" si="3"/>
        <v>0</v>
      </c>
    </row>
    <row r="236" spans="1:15" ht="15" thickBot="1" x14ac:dyDescent="0.35">
      <c r="A236" s="3" t="s">
        <v>381</v>
      </c>
      <c r="B236" s="4">
        <v>45737</v>
      </c>
      <c r="C236" s="3" t="s">
        <v>132</v>
      </c>
      <c r="D236" s="3" t="s">
        <v>133</v>
      </c>
      <c r="E236" s="3" t="s">
        <v>44</v>
      </c>
      <c r="F236" s="3" t="s">
        <v>45</v>
      </c>
      <c r="G236" s="3" t="s">
        <v>46</v>
      </c>
      <c r="H236" s="3">
        <v>2</v>
      </c>
      <c r="I236" s="3">
        <v>149.99</v>
      </c>
      <c r="J236" s="3" t="s">
        <v>20</v>
      </c>
      <c r="K236" s="3" t="s">
        <v>50</v>
      </c>
      <c r="L236" s="3" t="s">
        <v>27</v>
      </c>
      <c r="M236" s="4">
        <v>45233</v>
      </c>
      <c r="N236" s="3">
        <v>299.98</v>
      </c>
      <c r="O236">
        <f t="shared" ca="1" si="3"/>
        <v>0</v>
      </c>
    </row>
    <row r="237" spans="1:15" ht="15" thickBot="1" x14ac:dyDescent="0.35">
      <c r="A237" s="3" t="s">
        <v>382</v>
      </c>
      <c r="B237" s="4">
        <v>45737</v>
      </c>
      <c r="C237" s="3" t="s">
        <v>150</v>
      </c>
      <c r="D237" s="3" t="s">
        <v>151</v>
      </c>
      <c r="E237" s="3" t="s">
        <v>61</v>
      </c>
      <c r="F237" s="3" t="s">
        <v>62</v>
      </c>
      <c r="G237" s="3" t="s">
        <v>19</v>
      </c>
      <c r="H237" s="3">
        <v>3</v>
      </c>
      <c r="I237" s="3">
        <v>899.99</v>
      </c>
      <c r="J237" s="3" t="s">
        <v>57</v>
      </c>
      <c r="K237" s="3" t="s">
        <v>40</v>
      </c>
      <c r="L237" s="3" t="s">
        <v>27</v>
      </c>
      <c r="M237" s="4">
        <v>44876</v>
      </c>
      <c r="N237" s="3">
        <v>2699.97</v>
      </c>
      <c r="O237">
        <f t="shared" ca="1" si="3"/>
        <v>0</v>
      </c>
    </row>
    <row r="238" spans="1:15" ht="15" thickBot="1" x14ac:dyDescent="0.35">
      <c r="A238" s="3" t="s">
        <v>383</v>
      </c>
      <c r="B238" s="4">
        <v>45737</v>
      </c>
      <c r="C238" s="3" t="s">
        <v>48</v>
      </c>
      <c r="D238" s="3" t="s">
        <v>49</v>
      </c>
      <c r="E238" s="3" t="s">
        <v>61</v>
      </c>
      <c r="F238" s="3" t="s">
        <v>62</v>
      </c>
      <c r="G238" s="3" t="s">
        <v>19</v>
      </c>
      <c r="H238" s="3">
        <v>3</v>
      </c>
      <c r="I238" s="3">
        <v>899.99</v>
      </c>
      <c r="J238" s="3" t="s">
        <v>34</v>
      </c>
      <c r="K238" s="3" t="s">
        <v>40</v>
      </c>
      <c r="L238" s="3" t="s">
        <v>22</v>
      </c>
      <c r="M238" s="4">
        <v>44975</v>
      </c>
      <c r="N238" s="3">
        <v>2699.97</v>
      </c>
      <c r="O238">
        <f t="shared" ca="1" si="3"/>
        <v>0</v>
      </c>
    </row>
    <row r="239" spans="1:15" ht="15" thickBot="1" x14ac:dyDescent="0.35">
      <c r="A239" s="3" t="s">
        <v>384</v>
      </c>
      <c r="B239" s="4">
        <v>45739</v>
      </c>
      <c r="C239" s="3" t="s">
        <v>15</v>
      </c>
      <c r="D239" s="3" t="s">
        <v>16</v>
      </c>
      <c r="E239" s="3" t="s">
        <v>105</v>
      </c>
      <c r="F239" s="3" t="s">
        <v>106</v>
      </c>
      <c r="G239" s="3" t="s">
        <v>46</v>
      </c>
      <c r="H239" s="3">
        <v>3</v>
      </c>
      <c r="I239" s="3">
        <v>299.99</v>
      </c>
      <c r="J239" s="3" t="s">
        <v>26</v>
      </c>
      <c r="K239" s="3" t="s">
        <v>50</v>
      </c>
      <c r="L239" s="3" t="s">
        <v>27</v>
      </c>
      <c r="M239" s="4">
        <v>45234</v>
      </c>
      <c r="N239" s="3">
        <v>899.97</v>
      </c>
      <c r="O239">
        <f t="shared" ca="1" si="3"/>
        <v>0</v>
      </c>
    </row>
    <row r="240" spans="1:15" ht="15" thickBot="1" x14ac:dyDescent="0.35">
      <c r="A240" s="3" t="s">
        <v>385</v>
      </c>
      <c r="B240" s="4">
        <v>45740</v>
      </c>
      <c r="C240" s="3" t="s">
        <v>386</v>
      </c>
      <c r="D240" s="3" t="s">
        <v>387</v>
      </c>
      <c r="E240" s="3" t="s">
        <v>44</v>
      </c>
      <c r="F240" s="3" t="s">
        <v>45</v>
      </c>
      <c r="G240" s="3" t="s">
        <v>46</v>
      </c>
      <c r="H240" s="3">
        <v>4</v>
      </c>
      <c r="I240" s="3">
        <v>149.99</v>
      </c>
      <c r="J240" s="3" t="s">
        <v>34</v>
      </c>
      <c r="K240" s="3" t="s">
        <v>50</v>
      </c>
      <c r="L240" s="3" t="s">
        <v>36</v>
      </c>
      <c r="M240" s="4">
        <v>44560</v>
      </c>
      <c r="N240" s="3">
        <v>599.96</v>
      </c>
      <c r="O240">
        <f t="shared" ca="1" si="3"/>
        <v>0</v>
      </c>
    </row>
    <row r="241" spans="1:15" ht="15" thickBot="1" x14ac:dyDescent="0.35">
      <c r="A241" s="3" t="s">
        <v>388</v>
      </c>
      <c r="B241" s="4">
        <v>45743</v>
      </c>
      <c r="C241" s="3" t="s">
        <v>102</v>
      </c>
      <c r="D241" s="3" t="s">
        <v>103</v>
      </c>
      <c r="E241" s="3" t="s">
        <v>114</v>
      </c>
      <c r="F241" s="3" t="s">
        <v>115</v>
      </c>
      <c r="G241" s="3" t="s">
        <v>33</v>
      </c>
      <c r="H241" s="3">
        <v>4</v>
      </c>
      <c r="I241" s="3">
        <v>79.989999999999995</v>
      </c>
      <c r="J241" s="3" t="s">
        <v>26</v>
      </c>
      <c r="K241" s="3" t="s">
        <v>21</v>
      </c>
      <c r="L241" s="3" t="s">
        <v>22</v>
      </c>
      <c r="M241" s="4">
        <v>45288</v>
      </c>
      <c r="N241" s="3">
        <v>319.95999999999998</v>
      </c>
      <c r="O241">
        <f t="shared" ca="1" si="3"/>
        <v>0</v>
      </c>
    </row>
    <row r="242" spans="1:15" ht="15" thickBot="1" x14ac:dyDescent="0.35">
      <c r="A242" s="3" t="s">
        <v>389</v>
      </c>
      <c r="B242" s="4">
        <v>45745</v>
      </c>
      <c r="C242" s="3" t="s">
        <v>185</v>
      </c>
      <c r="D242" s="3" t="s">
        <v>186</v>
      </c>
      <c r="E242" s="3" t="s">
        <v>117</v>
      </c>
      <c r="F242" s="3" t="s">
        <v>118</v>
      </c>
      <c r="G242" s="3" t="s">
        <v>19</v>
      </c>
      <c r="H242" s="3">
        <v>5</v>
      </c>
      <c r="I242" s="3">
        <v>89.99</v>
      </c>
      <c r="J242" s="3" t="s">
        <v>34</v>
      </c>
      <c r="K242" s="3" t="s">
        <v>35</v>
      </c>
      <c r="L242" s="3" t="s">
        <v>22</v>
      </c>
      <c r="M242" s="4">
        <v>44704</v>
      </c>
      <c r="N242" s="3">
        <v>449.95</v>
      </c>
      <c r="O242">
        <f t="shared" ca="1" si="3"/>
        <v>0</v>
      </c>
    </row>
    <row r="243" spans="1:15" ht="15" thickBot="1" x14ac:dyDescent="0.35">
      <c r="A243" s="3" t="s">
        <v>390</v>
      </c>
      <c r="B243" s="4">
        <v>45746</v>
      </c>
      <c r="C243" s="3" t="s">
        <v>93</v>
      </c>
      <c r="D243" s="3" t="s">
        <v>94</v>
      </c>
      <c r="E243" s="3" t="s">
        <v>44</v>
      </c>
      <c r="F243" s="3" t="s">
        <v>45</v>
      </c>
      <c r="G243" s="3" t="s">
        <v>46</v>
      </c>
      <c r="H243" s="3">
        <v>3</v>
      </c>
      <c r="I243" s="3">
        <v>149.99</v>
      </c>
      <c r="J243" s="3" t="s">
        <v>34</v>
      </c>
      <c r="K243" s="3" t="s">
        <v>21</v>
      </c>
      <c r="L243" s="3" t="s">
        <v>36</v>
      </c>
      <c r="M243" s="4">
        <v>45171</v>
      </c>
      <c r="N243" s="3">
        <v>449.97</v>
      </c>
      <c r="O243">
        <f t="shared" ca="1" si="3"/>
        <v>0</v>
      </c>
    </row>
    <row r="244" spans="1:15" ht="15" thickBot="1" x14ac:dyDescent="0.35">
      <c r="A244" s="3" t="s">
        <v>391</v>
      </c>
      <c r="B244" s="4">
        <v>45746</v>
      </c>
      <c r="C244" s="3" t="s">
        <v>65</v>
      </c>
      <c r="D244" s="3" t="s">
        <v>66</v>
      </c>
      <c r="E244" s="3" t="s">
        <v>117</v>
      </c>
      <c r="F244" s="3" t="s">
        <v>118</v>
      </c>
      <c r="G244" s="3" t="s">
        <v>19</v>
      </c>
      <c r="H244" s="3">
        <v>2</v>
      </c>
      <c r="I244" s="3">
        <v>89.99</v>
      </c>
      <c r="J244" s="3" t="s">
        <v>57</v>
      </c>
      <c r="K244" s="3" t="s">
        <v>50</v>
      </c>
      <c r="L244" s="3" t="s">
        <v>27</v>
      </c>
      <c r="M244" s="4">
        <v>44522</v>
      </c>
      <c r="N244" s="3">
        <v>179.98</v>
      </c>
      <c r="O244">
        <f t="shared" ca="1" si="3"/>
        <v>0</v>
      </c>
    </row>
    <row r="245" spans="1:15" ht="15" thickBot="1" x14ac:dyDescent="0.35">
      <c r="A245" s="3" t="s">
        <v>392</v>
      </c>
      <c r="B245" s="4">
        <v>45748</v>
      </c>
      <c r="C245" s="3" t="s">
        <v>102</v>
      </c>
      <c r="D245" s="3" t="s">
        <v>103</v>
      </c>
      <c r="E245" s="3" t="s">
        <v>80</v>
      </c>
      <c r="F245" s="3" t="s">
        <v>81</v>
      </c>
      <c r="G245" s="3" t="s">
        <v>19</v>
      </c>
      <c r="H245" s="3">
        <v>2</v>
      </c>
      <c r="I245" s="3">
        <v>699.99</v>
      </c>
      <c r="J245" s="3" t="s">
        <v>34</v>
      </c>
      <c r="K245" s="3" t="s">
        <v>40</v>
      </c>
      <c r="L245" s="3" t="s">
        <v>36</v>
      </c>
      <c r="M245" s="4">
        <v>44618</v>
      </c>
      <c r="N245" s="3">
        <v>1399.98</v>
      </c>
      <c r="O245">
        <f t="shared" ca="1" si="3"/>
        <v>0</v>
      </c>
    </row>
    <row r="246" spans="1:15" ht="15" thickBot="1" x14ac:dyDescent="0.35">
      <c r="A246" s="3" t="s">
        <v>393</v>
      </c>
      <c r="B246" s="4">
        <v>45749</v>
      </c>
      <c r="C246" s="3" t="s">
        <v>123</v>
      </c>
      <c r="D246" s="3" t="s">
        <v>124</v>
      </c>
      <c r="E246" s="3" t="s">
        <v>61</v>
      </c>
      <c r="F246" s="3" t="s">
        <v>62</v>
      </c>
      <c r="G246" s="3" t="s">
        <v>19</v>
      </c>
      <c r="H246" s="3">
        <v>3</v>
      </c>
      <c r="I246" s="3">
        <v>899.99</v>
      </c>
      <c r="J246" s="3" t="s">
        <v>20</v>
      </c>
      <c r="K246" s="3" t="s">
        <v>21</v>
      </c>
      <c r="L246" s="3" t="s">
        <v>36</v>
      </c>
      <c r="M246" s="4">
        <v>44953</v>
      </c>
      <c r="N246" s="3">
        <v>2699.97</v>
      </c>
      <c r="O246">
        <f t="shared" ca="1" si="3"/>
        <v>0</v>
      </c>
    </row>
    <row r="247" spans="1:15" ht="15" thickBot="1" x14ac:dyDescent="0.35">
      <c r="A247" s="3" t="s">
        <v>394</v>
      </c>
      <c r="B247" s="4">
        <v>45755</v>
      </c>
      <c r="C247" s="3" t="s">
        <v>93</v>
      </c>
      <c r="D247" s="3" t="s">
        <v>94</v>
      </c>
      <c r="E247" s="3" t="s">
        <v>114</v>
      </c>
      <c r="F247" s="3" t="s">
        <v>115</v>
      </c>
      <c r="G247" s="3" t="s">
        <v>33</v>
      </c>
      <c r="H247" s="3">
        <v>3</v>
      </c>
      <c r="I247" s="3">
        <v>79.989999999999995</v>
      </c>
      <c r="J247" s="3" t="s">
        <v>26</v>
      </c>
      <c r="K247" s="3" t="s">
        <v>40</v>
      </c>
      <c r="L247" s="3" t="s">
        <v>22</v>
      </c>
      <c r="M247" s="4">
        <v>44511</v>
      </c>
      <c r="N247" s="3">
        <v>239.97</v>
      </c>
      <c r="O247">
        <f t="shared" ca="1" si="3"/>
        <v>0</v>
      </c>
    </row>
    <row r="248" spans="1:15" ht="15" thickBot="1" x14ac:dyDescent="0.35">
      <c r="A248" s="3" t="s">
        <v>395</v>
      </c>
      <c r="B248" s="4">
        <v>45756</v>
      </c>
      <c r="C248" s="3" t="s">
        <v>59</v>
      </c>
      <c r="D248" s="3" t="s">
        <v>60</v>
      </c>
      <c r="E248" s="3" t="s">
        <v>117</v>
      </c>
      <c r="F248" s="3" t="s">
        <v>118</v>
      </c>
      <c r="G248" s="3" t="s">
        <v>19</v>
      </c>
      <c r="H248" s="3">
        <v>1</v>
      </c>
      <c r="I248" s="3">
        <v>89.99</v>
      </c>
      <c r="J248" s="3" t="s">
        <v>57</v>
      </c>
      <c r="K248" s="3" t="s">
        <v>63</v>
      </c>
      <c r="L248" s="3" t="s">
        <v>22</v>
      </c>
      <c r="M248" s="4">
        <v>45346</v>
      </c>
      <c r="N248" s="3">
        <v>89.99</v>
      </c>
      <c r="O248">
        <f t="shared" ca="1" si="3"/>
        <v>0</v>
      </c>
    </row>
    <row r="249" spans="1:15" ht="15" thickBot="1" x14ac:dyDescent="0.35">
      <c r="A249" s="3" t="s">
        <v>396</v>
      </c>
      <c r="B249" s="4">
        <v>45758</v>
      </c>
      <c r="C249" s="3" t="s">
        <v>293</v>
      </c>
      <c r="D249" s="3" t="s">
        <v>294</v>
      </c>
      <c r="E249" s="3" t="s">
        <v>80</v>
      </c>
      <c r="F249" s="3" t="s">
        <v>81</v>
      </c>
      <c r="G249" s="3" t="s">
        <v>19</v>
      </c>
      <c r="H249" s="3">
        <v>3</v>
      </c>
      <c r="I249" s="3">
        <v>699.99</v>
      </c>
      <c r="J249" s="3" t="s">
        <v>34</v>
      </c>
      <c r="K249" s="3" t="s">
        <v>40</v>
      </c>
      <c r="L249" s="3" t="s">
        <v>22</v>
      </c>
      <c r="M249" s="4">
        <v>44909</v>
      </c>
      <c r="N249" s="3">
        <v>2099.9699999999998</v>
      </c>
      <c r="O249">
        <f t="shared" ca="1" si="3"/>
        <v>0</v>
      </c>
    </row>
    <row r="250" spans="1:15" ht="15" thickBot="1" x14ac:dyDescent="0.35">
      <c r="A250" s="3" t="s">
        <v>397</v>
      </c>
      <c r="B250" s="4">
        <v>45758</v>
      </c>
      <c r="C250" s="3" t="s">
        <v>226</v>
      </c>
      <c r="D250" s="3" t="s">
        <v>227</v>
      </c>
      <c r="E250" s="3" t="s">
        <v>117</v>
      </c>
      <c r="F250" s="3" t="s">
        <v>118</v>
      </c>
      <c r="G250" s="3" t="s">
        <v>19</v>
      </c>
      <c r="H250" s="3">
        <v>2</v>
      </c>
      <c r="I250" s="3">
        <v>89.99</v>
      </c>
      <c r="J250" s="3" t="s">
        <v>57</v>
      </c>
      <c r="K250" s="3" t="s">
        <v>63</v>
      </c>
      <c r="L250" s="3" t="s">
        <v>22</v>
      </c>
      <c r="M250" s="4">
        <v>45088</v>
      </c>
      <c r="N250" s="3">
        <v>179.98</v>
      </c>
      <c r="O250">
        <f t="shared" ca="1" si="3"/>
        <v>0</v>
      </c>
    </row>
    <row r="251" spans="1:15" ht="15" thickBot="1" x14ac:dyDescent="0.35">
      <c r="A251" s="3" t="s">
        <v>398</v>
      </c>
      <c r="B251" s="4">
        <v>45758</v>
      </c>
      <c r="C251" s="3" t="s">
        <v>138</v>
      </c>
      <c r="D251" s="3" t="s">
        <v>139</v>
      </c>
      <c r="E251" s="3" t="s">
        <v>117</v>
      </c>
      <c r="F251" s="3" t="s">
        <v>118</v>
      </c>
      <c r="G251" s="3" t="s">
        <v>19</v>
      </c>
      <c r="H251" s="3">
        <v>3</v>
      </c>
      <c r="I251" s="3">
        <v>89.99</v>
      </c>
      <c r="J251" s="3" t="s">
        <v>57</v>
      </c>
      <c r="K251" s="3" t="s">
        <v>40</v>
      </c>
      <c r="L251" s="3" t="s">
        <v>27</v>
      </c>
      <c r="M251" s="4">
        <v>44878</v>
      </c>
      <c r="N251" s="3">
        <v>269.97000000000003</v>
      </c>
      <c r="O251">
        <f t="shared" ca="1" si="3"/>
        <v>0</v>
      </c>
    </row>
  </sheetData>
  <conditionalFormatting sqref="N2:N25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6C84-12B6-41AC-810E-DF7E317EF888}">
  <sheetPr>
    <outlinePr summaryBelow="0"/>
  </sheetPr>
  <dimension ref="B1:G11"/>
  <sheetViews>
    <sheetView showGridLines="0" workbookViewId="0"/>
  </sheetViews>
  <sheetFormatPr defaultRowHeight="14.4" outlineLevelRow="1" outlineLevelCol="1" x14ac:dyDescent="0.3"/>
  <cols>
    <col min="3" max="3" width="6.10937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11" t="s">
        <v>427</v>
      </c>
      <c r="C2" s="11"/>
      <c r="D2" s="16"/>
      <c r="E2" s="16"/>
      <c r="F2" s="16"/>
      <c r="G2" s="16"/>
    </row>
    <row r="3" spans="2:7" ht="15.6" collapsed="1" x14ac:dyDescent="0.3">
      <c r="B3" s="10"/>
      <c r="C3" s="10"/>
      <c r="D3" s="17" t="s">
        <v>429</v>
      </c>
      <c r="E3" s="17" t="s">
        <v>424</v>
      </c>
      <c r="F3" s="17" t="s">
        <v>426</v>
      </c>
      <c r="G3" s="17" t="s">
        <v>435</v>
      </c>
    </row>
    <row r="4" spans="2:7" ht="64.8" hidden="1" outlineLevel="1" x14ac:dyDescent="0.3">
      <c r="B4" s="13"/>
      <c r="C4" s="13"/>
      <c r="D4" s="8"/>
      <c r="E4" s="19" t="s">
        <v>434</v>
      </c>
      <c r="F4" s="19" t="s">
        <v>434</v>
      </c>
      <c r="G4" s="19" t="s">
        <v>425</v>
      </c>
    </row>
    <row r="5" spans="2:7" x14ac:dyDescent="0.3">
      <c r="B5" s="14" t="s">
        <v>428</v>
      </c>
      <c r="C5" s="14"/>
      <c r="D5" s="12"/>
      <c r="E5" s="12"/>
      <c r="F5" s="12"/>
      <c r="G5" s="12"/>
    </row>
    <row r="6" spans="2:7" outlineLevel="1" x14ac:dyDescent="0.3">
      <c r="B6" s="13"/>
      <c r="C6" s="13" t="s">
        <v>423</v>
      </c>
      <c r="D6" s="8">
        <v>229192.47</v>
      </c>
      <c r="E6" s="18">
        <v>200000</v>
      </c>
      <c r="F6" s="18">
        <v>229192.47</v>
      </c>
      <c r="G6" s="18">
        <v>275000</v>
      </c>
    </row>
    <row r="7" spans="2:7" x14ac:dyDescent="0.3">
      <c r="B7" s="14" t="s">
        <v>430</v>
      </c>
      <c r="C7" s="14"/>
      <c r="D7" s="12"/>
      <c r="E7" s="12"/>
      <c r="F7" s="12"/>
      <c r="G7" s="12"/>
    </row>
    <row r="8" spans="2:7" ht="15" outlineLevel="1" thickBot="1" x14ac:dyDescent="0.35">
      <c r="B8" s="15"/>
      <c r="C8" s="15" t="s">
        <v>423</v>
      </c>
      <c r="D8" s="9">
        <v>229192.47</v>
      </c>
      <c r="E8" s="9">
        <v>200000</v>
      </c>
      <c r="F8" s="9">
        <v>229192.47</v>
      </c>
      <c r="G8" s="9">
        <v>275000</v>
      </c>
    </row>
    <row r="9" spans="2:7" x14ac:dyDescent="0.3">
      <c r="B9" t="s">
        <v>431</v>
      </c>
    </row>
    <row r="10" spans="2:7" x14ac:dyDescent="0.3">
      <c r="B10" t="s">
        <v>432</v>
      </c>
    </row>
    <row r="11" spans="2:7" x14ac:dyDescent="0.3">
      <c r="B11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DB1B-E4FC-4E1A-A7DB-93D7750F9794}">
  <dimension ref="A1:B30"/>
  <sheetViews>
    <sheetView topLeftCell="A9" workbookViewId="0">
      <selection activeCell="B26" sqref="B26 B27"/>
    </sheetView>
  </sheetViews>
  <sheetFormatPr defaultRowHeight="14.4" x14ac:dyDescent="0.3"/>
  <cols>
    <col min="1" max="1" width="26.44140625" customWidth="1"/>
    <col min="2" max="2" width="15.33203125" bestFit="1" customWidth="1"/>
  </cols>
  <sheetData>
    <row r="1" spans="1:2" x14ac:dyDescent="0.3">
      <c r="A1" t="s">
        <v>399</v>
      </c>
    </row>
    <row r="2" spans="1:2" x14ac:dyDescent="0.3">
      <c r="A2" t="s">
        <v>400</v>
      </c>
      <c r="B2">
        <f>SUM('Final Project Dataset'!N:N)</f>
        <v>229192.47000000032</v>
      </c>
    </row>
    <row r="3" spans="1:2" x14ac:dyDescent="0.3">
      <c r="A3" t="s">
        <v>401</v>
      </c>
      <c r="B3">
        <f>COUNTA('Final Project Dataset'!A:A)-1</f>
        <v>250</v>
      </c>
    </row>
    <row r="4" spans="1:2" x14ac:dyDescent="0.3">
      <c r="A4" t="s">
        <v>402</v>
      </c>
      <c r="B4">
        <f>SUM('Final Project Dataset'!H:H)</f>
        <v>753</v>
      </c>
    </row>
    <row r="5" spans="1:2" x14ac:dyDescent="0.3">
      <c r="A5" t="s">
        <v>403</v>
      </c>
      <c r="B5">
        <f>AVERAGE('Final Project Dataset'!N:N)</f>
        <v>916.76988000000131</v>
      </c>
    </row>
    <row r="8" spans="1:2" x14ac:dyDescent="0.3">
      <c r="A8" t="s">
        <v>404</v>
      </c>
    </row>
    <row r="9" spans="1:2" x14ac:dyDescent="0.3">
      <c r="A9" t="s">
        <v>405</v>
      </c>
      <c r="B9" s="1">
        <f ca="1">TODAY()</f>
        <v>46308</v>
      </c>
    </row>
    <row r="10" spans="1:2" x14ac:dyDescent="0.3">
      <c r="A10" t="s">
        <v>406</v>
      </c>
      <c r="B10" s="6">
        <f ca="1">NOW()</f>
        <v>46308.799068981483</v>
      </c>
    </row>
    <row r="11" spans="1:2" x14ac:dyDescent="0.3">
      <c r="A11" t="s">
        <v>407</v>
      </c>
      <c r="B11" s="1">
        <f>MIN('Final Project Dataset'!B2:B251)</f>
        <v>45393</v>
      </c>
    </row>
    <row r="12" spans="1:2" x14ac:dyDescent="0.3">
      <c r="A12" t="s">
        <v>408</v>
      </c>
      <c r="B12" s="1">
        <f>MAX('Final Project Dataset'!B2:B251)</f>
        <v>45758</v>
      </c>
    </row>
    <row r="13" spans="1:2" x14ac:dyDescent="0.3">
      <c r="A13" t="s">
        <v>409</v>
      </c>
      <c r="B13">
        <f>DATEDIF(B11,B12,"d")</f>
        <v>365</v>
      </c>
    </row>
    <row r="15" spans="1:2" x14ac:dyDescent="0.3">
      <c r="A15" t="s">
        <v>410</v>
      </c>
      <c r="B15" s="1">
        <f>EOMONTH(B12,0)</f>
        <v>45777</v>
      </c>
    </row>
    <row r="17" spans="1:2" x14ac:dyDescent="0.3">
      <c r="A17" t="s">
        <v>411</v>
      </c>
    </row>
    <row r="18" spans="1:2" x14ac:dyDescent="0.3">
      <c r="A18" t="s">
        <v>412</v>
      </c>
    </row>
    <row r="19" spans="1:2" x14ac:dyDescent="0.3">
      <c r="A19" t="s">
        <v>40</v>
      </c>
    </row>
    <row r="20" spans="1:2" x14ac:dyDescent="0.3">
      <c r="A20" t="s">
        <v>413</v>
      </c>
    </row>
    <row r="21" spans="1:2" x14ac:dyDescent="0.3">
      <c r="A21" t="str" cm="1">
        <f t="array" ref="A21">_xlfn._xlws.FILTER('Final Project Dataset'!A2:N251,'Final Project Dataset'!K2:K251=B18,"no matching transaction")</f>
        <v>no matching transaction</v>
      </c>
    </row>
    <row r="23" spans="1:2" x14ac:dyDescent="0.3">
      <c r="A23" t="s">
        <v>415</v>
      </c>
    </row>
    <row r="24" spans="1:2" x14ac:dyDescent="0.3">
      <c r="A24" t="s">
        <v>416</v>
      </c>
      <c r="B24">
        <v>229192.47</v>
      </c>
    </row>
    <row r="25" spans="1:2" x14ac:dyDescent="0.3">
      <c r="A25" t="s">
        <v>417</v>
      </c>
      <c r="B25">
        <v>250000</v>
      </c>
    </row>
    <row r="26" spans="1:2" x14ac:dyDescent="0.3">
      <c r="A26" t="s">
        <v>418</v>
      </c>
      <c r="B26">
        <f>B25-B24</f>
        <v>20807.53</v>
      </c>
    </row>
    <row r="27" spans="1:2" x14ac:dyDescent="0.3">
      <c r="A27" t="s">
        <v>419</v>
      </c>
      <c r="B27">
        <f>B24/SUM('Final Project Dataset'!H2:H251)</f>
        <v>304.37247011952189</v>
      </c>
    </row>
    <row r="28" spans="1:2" x14ac:dyDescent="0.3">
      <c r="A28" t="s">
        <v>420</v>
      </c>
      <c r="B28">
        <f>B25/B27</f>
        <v>821.36206307301461</v>
      </c>
    </row>
    <row r="29" spans="1:2" x14ac:dyDescent="0.3">
      <c r="A29" t="s">
        <v>421</v>
      </c>
      <c r="B29">
        <v>821.36206307301313</v>
      </c>
    </row>
    <row r="30" spans="1:2" x14ac:dyDescent="0.3">
      <c r="A30" t="s">
        <v>422</v>
      </c>
      <c r="B30">
        <f>B29*B27</f>
        <v>249999.99999999953</v>
      </c>
    </row>
  </sheetData>
  <scenarios current="0" sqref="B24">
    <scenario name="pessimistic" locked="1" count="1" user="NIYATI PATEL" comment="Created by NIYATI PATEL on 13-10-2026_x000a_Modified by NIYATI PATEL on 13-10-2026">
      <inputCells r="B24" val="200000"/>
    </scenario>
    <scenario name="normal" locked="1" count="1" user="NIYATI PATEL" comment="Created by NIYATI PATEL on 13-10-2026_x000a_Modified by NIYATI PATEL on 13-10-2026">
      <inputCells r="B24" val="229192.47"/>
    </scenario>
    <scenario name="optimistic" locked="1" count="1" user="NIYATI PATEL" comment="Created by NIYATI PATEL on 13-10-2026">
      <inputCells r="B24" val="275000"/>
    </scenario>
  </scenario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DE63-AFA4-4A9F-9EC1-49CB326B25CB}">
  <dimension ref="A1:I18"/>
  <sheetViews>
    <sheetView workbookViewId="0">
      <selection activeCell="N6" sqref="N6"/>
    </sheetView>
  </sheetViews>
  <sheetFormatPr defaultRowHeight="14.4" x14ac:dyDescent="0.3"/>
  <cols>
    <col min="1" max="1" width="11.6640625" customWidth="1"/>
    <col min="2" max="2" width="15.21875" customWidth="1"/>
    <col min="3" max="3" width="13.44140625" customWidth="1"/>
    <col min="4" max="4" width="13.21875" customWidth="1"/>
    <col min="5" max="5" width="12.5546875" customWidth="1"/>
    <col min="6" max="6" width="13.21875" customWidth="1"/>
    <col min="7" max="7" width="12" customWidth="1"/>
    <col min="8" max="8" width="13.6640625" customWidth="1"/>
    <col min="9" max="9" width="13.77734375" customWidth="1"/>
  </cols>
  <sheetData>
    <row r="1" spans="1:9" x14ac:dyDescent="0.3">
      <c r="A1" t="s">
        <v>438</v>
      </c>
    </row>
    <row r="2" spans="1:9" ht="15" thickBot="1" x14ac:dyDescent="0.35"/>
    <row r="3" spans="1:9" x14ac:dyDescent="0.3">
      <c r="A3" s="21" t="s">
        <v>439</v>
      </c>
      <c r="B3" s="21"/>
    </row>
    <row r="4" spans="1:9" x14ac:dyDescent="0.3">
      <c r="A4" s="8" t="s">
        <v>440</v>
      </c>
      <c r="B4" s="8">
        <v>0.45808036093237842</v>
      </c>
    </row>
    <row r="5" spans="1:9" x14ac:dyDescent="0.3">
      <c r="A5" s="8" t="s">
        <v>441</v>
      </c>
      <c r="B5" s="8">
        <v>0.2098376170719381</v>
      </c>
    </row>
    <row r="6" spans="1:9" x14ac:dyDescent="0.3">
      <c r="A6" s="8" t="s">
        <v>442</v>
      </c>
      <c r="B6" s="8">
        <v>0.20665147843109913</v>
      </c>
    </row>
    <row r="7" spans="1:9" x14ac:dyDescent="0.3">
      <c r="A7" s="8" t="s">
        <v>443</v>
      </c>
      <c r="B7" s="8">
        <v>919.60715349471081</v>
      </c>
    </row>
    <row r="8" spans="1:9" ht="15" thickBot="1" x14ac:dyDescent="0.35">
      <c r="A8" s="9" t="s">
        <v>444</v>
      </c>
      <c r="B8" s="9">
        <v>250</v>
      </c>
    </row>
    <row r="10" spans="1:9" ht="15" thickBot="1" x14ac:dyDescent="0.35">
      <c r="A10" t="s">
        <v>445</v>
      </c>
    </row>
    <row r="11" spans="1:9" x14ac:dyDescent="0.3">
      <c r="A11" s="20"/>
      <c r="B11" s="20" t="s">
        <v>450</v>
      </c>
      <c r="C11" s="20" t="s">
        <v>451</v>
      </c>
      <c r="D11" s="20" t="s">
        <v>452</v>
      </c>
      <c r="E11" s="20" t="s">
        <v>453</v>
      </c>
      <c r="F11" s="20" t="s">
        <v>454</v>
      </c>
    </row>
    <row r="12" spans="1:9" x14ac:dyDescent="0.3">
      <c r="A12" s="8" t="s">
        <v>446</v>
      </c>
      <c r="B12" s="8">
        <v>1</v>
      </c>
      <c r="C12" s="8">
        <v>55695916.896352619</v>
      </c>
      <c r="D12" s="8">
        <v>55695916.896352619</v>
      </c>
      <c r="E12" s="8">
        <v>65.859537429508919</v>
      </c>
      <c r="F12" s="8">
        <v>2.2586478953134677E-14</v>
      </c>
    </row>
    <row r="13" spans="1:9" x14ac:dyDescent="0.3">
      <c r="A13" s="8" t="s">
        <v>447</v>
      </c>
      <c r="B13" s="8">
        <v>248</v>
      </c>
      <c r="C13" s="8">
        <v>209727974.55614385</v>
      </c>
      <c r="D13" s="8">
        <v>845677.31675864453</v>
      </c>
      <c r="E13" s="8"/>
      <c r="F13" s="8"/>
    </row>
    <row r="14" spans="1:9" ht="15" thickBot="1" x14ac:dyDescent="0.35">
      <c r="A14" s="9" t="s">
        <v>448</v>
      </c>
      <c r="B14" s="9">
        <v>249</v>
      </c>
      <c r="C14" s="9">
        <v>265423891.45249647</v>
      </c>
      <c r="D14" s="9"/>
      <c r="E14" s="9"/>
      <c r="F14" s="9"/>
    </row>
    <row r="15" spans="1:9" ht="15" thickBot="1" x14ac:dyDescent="0.35"/>
    <row r="16" spans="1:9" x14ac:dyDescent="0.3">
      <c r="A16" s="20"/>
      <c r="B16" s="20" t="s">
        <v>455</v>
      </c>
      <c r="C16" s="20" t="s">
        <v>443</v>
      </c>
      <c r="D16" s="20" t="s">
        <v>456</v>
      </c>
      <c r="E16" s="20" t="s">
        <v>457</v>
      </c>
      <c r="F16" s="20" t="s">
        <v>458</v>
      </c>
      <c r="G16" s="20" t="s">
        <v>459</v>
      </c>
      <c r="H16" s="20" t="s">
        <v>460</v>
      </c>
      <c r="I16" s="20" t="s">
        <v>461</v>
      </c>
    </row>
    <row r="17" spans="1:9" x14ac:dyDescent="0.3">
      <c r="A17" s="8" t="s">
        <v>449</v>
      </c>
      <c r="B17" s="8">
        <v>-148.85464891541903</v>
      </c>
      <c r="C17" s="8">
        <v>143.61334429876464</v>
      </c>
      <c r="D17" s="8">
        <v>-1.0364959443166415</v>
      </c>
      <c r="E17" s="8">
        <v>0.30098040367911694</v>
      </c>
      <c r="F17" s="8">
        <v>-431.71199538208884</v>
      </c>
      <c r="G17" s="8">
        <v>134.00269755125078</v>
      </c>
      <c r="H17" s="8">
        <v>-431.71199538208884</v>
      </c>
      <c r="I17" s="8">
        <v>134.00269755125078</v>
      </c>
    </row>
    <row r="18" spans="1:9" ht="15" thickBot="1" x14ac:dyDescent="0.35">
      <c r="A18" s="9" t="s">
        <v>436</v>
      </c>
      <c r="B18" s="9">
        <v>353.7930042879882</v>
      </c>
      <c r="C18" s="9">
        <v>43.595323340526868</v>
      </c>
      <c r="D18" s="9">
        <v>8.1153889265708674</v>
      </c>
      <c r="E18" s="9">
        <v>2.2586478953133775E-14</v>
      </c>
      <c r="F18" s="9">
        <v>267.92871682452869</v>
      </c>
      <c r="G18" s="9">
        <v>439.6572917514477</v>
      </c>
      <c r="H18" s="9">
        <v>267.92871682452869</v>
      </c>
      <c r="I18" s="9">
        <v>439.6572917514477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3304-B0C1-4259-B74B-313AA784DF3E}">
  <dimension ref="A1:E11"/>
  <sheetViews>
    <sheetView workbookViewId="0">
      <selection activeCell="E4" sqref="E4"/>
    </sheetView>
  </sheetViews>
  <sheetFormatPr defaultRowHeight="14.4" x14ac:dyDescent="0.3"/>
  <cols>
    <col min="1" max="1" width="14.109375" customWidth="1"/>
    <col min="2" max="2" width="17" bestFit="1" customWidth="1"/>
    <col min="4" max="4" width="29" bestFit="1" customWidth="1"/>
    <col min="5" max="5" width="13.5546875" bestFit="1" customWidth="1"/>
  </cols>
  <sheetData>
    <row r="1" spans="1:5" x14ac:dyDescent="0.3">
      <c r="A1" t="s">
        <v>462</v>
      </c>
      <c r="B1" t="s">
        <v>463</v>
      </c>
      <c r="D1" t="s">
        <v>464</v>
      </c>
      <c r="E1" t="s">
        <v>465</v>
      </c>
    </row>
    <row r="2" spans="1:5" x14ac:dyDescent="0.3">
      <c r="A2" t="str" cm="1">
        <f t="array" ref="A2:A11">_xlfn.UNIQUE('Final Project Dataset'!F2:F251)</f>
        <v>Monitor</v>
      </c>
      <c r="B2" cm="1">
        <f t="array" ref="B2:B11">COUNTIF('Final Project Dataset'!F$2:F$251,_xlfn.ANCHORARRAY(A2))</f>
        <v>26</v>
      </c>
      <c r="D2" t="str">
        <f>INDEX(_xlfn.ANCHORARRAY(A2),MATCH(MAX(_xlfn.ANCHORARRAY(B2)),_xlfn.ANCHORARRAY(B2),0))</f>
        <v>Bookshelf</v>
      </c>
      <c r="E2">
        <f>MAX(_xlfn.ANCHORARRAY(B2))</f>
        <v>35</v>
      </c>
    </row>
    <row r="3" spans="1:5" x14ac:dyDescent="0.3">
      <c r="A3" t="str">
        <v>Blender</v>
      </c>
      <c r="B3">
        <v>29</v>
      </c>
    </row>
    <row r="4" spans="1:5" x14ac:dyDescent="0.3">
      <c r="A4" t="str">
        <v>Bookshelf</v>
      </c>
      <c r="B4">
        <v>35</v>
      </c>
    </row>
    <row r="5" spans="1:5" x14ac:dyDescent="0.3">
      <c r="A5" t="str">
        <v>Headphones</v>
      </c>
      <c r="B5">
        <v>16</v>
      </c>
    </row>
    <row r="6" spans="1:5" x14ac:dyDescent="0.3">
      <c r="A6" t="str">
        <v>Laptop</v>
      </c>
      <c r="B6">
        <v>24</v>
      </c>
    </row>
    <row r="7" spans="1:5" x14ac:dyDescent="0.3">
      <c r="A7" t="str">
        <v>Smartphone</v>
      </c>
      <c r="B7">
        <v>31</v>
      </c>
    </row>
    <row r="8" spans="1:5" x14ac:dyDescent="0.3">
      <c r="A8" t="str">
        <v>Desk</v>
      </c>
      <c r="B8">
        <v>26</v>
      </c>
    </row>
    <row r="9" spans="1:5" x14ac:dyDescent="0.3">
      <c r="A9" t="str">
        <v>Coffee Maker</v>
      </c>
      <c r="B9">
        <v>14</v>
      </c>
    </row>
    <row r="10" spans="1:5" x14ac:dyDescent="0.3">
      <c r="A10" t="str">
        <v>Keyboard</v>
      </c>
      <c r="B10">
        <v>34</v>
      </c>
    </row>
    <row r="11" spans="1:5" x14ac:dyDescent="0.3">
      <c r="A11" t="str">
        <v>Office Chair</v>
      </c>
      <c r="B1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FD2B-548E-49E6-B71A-D18989C52B16}">
  <dimension ref="A1:B251"/>
  <sheetViews>
    <sheetView workbookViewId="0">
      <selection activeCell="F244" sqref="F244"/>
    </sheetView>
  </sheetViews>
  <sheetFormatPr defaultRowHeight="14.4" x14ac:dyDescent="0.3"/>
  <cols>
    <col min="2" max="2" width="11.5546875" customWidth="1"/>
  </cols>
  <sheetData>
    <row r="1" spans="1:2" x14ac:dyDescent="0.3">
      <c r="A1" t="s">
        <v>436</v>
      </c>
      <c r="B1" t="s">
        <v>437</v>
      </c>
    </row>
    <row r="2" spans="1:2" x14ac:dyDescent="0.3">
      <c r="A2">
        <f>'Final Project Dataset'!H2</f>
        <v>3</v>
      </c>
      <c r="B2">
        <f>'Final Project Dataset'!N2</f>
        <v>749.97</v>
      </c>
    </row>
    <row r="3" spans="1:2" x14ac:dyDescent="0.3">
      <c r="A3">
        <f>'Final Project Dataset'!H3</f>
        <v>3</v>
      </c>
      <c r="B3">
        <f>'Final Project Dataset'!N3</f>
        <v>749.97</v>
      </c>
    </row>
    <row r="4" spans="1:2" x14ac:dyDescent="0.3">
      <c r="A4">
        <f>'Final Project Dataset'!H4</f>
        <v>3</v>
      </c>
      <c r="B4">
        <f>'Final Project Dataset'!N4</f>
        <v>179.97</v>
      </c>
    </row>
    <row r="5" spans="1:2" x14ac:dyDescent="0.3">
      <c r="A5">
        <f>'Final Project Dataset'!H5</f>
        <v>3</v>
      </c>
      <c r="B5">
        <f>'Final Project Dataset'!N5</f>
        <v>179.97</v>
      </c>
    </row>
    <row r="6" spans="1:2" x14ac:dyDescent="0.3">
      <c r="A6">
        <f>'Final Project Dataset'!H6</f>
        <v>5</v>
      </c>
      <c r="B6">
        <f>'Final Project Dataset'!N6</f>
        <v>749.95</v>
      </c>
    </row>
    <row r="7" spans="1:2" x14ac:dyDescent="0.3">
      <c r="A7">
        <f>'Final Project Dataset'!H7</f>
        <v>2</v>
      </c>
      <c r="B7">
        <f>'Final Project Dataset'!N7</f>
        <v>119.98</v>
      </c>
    </row>
    <row r="8" spans="1:2" x14ac:dyDescent="0.3">
      <c r="A8">
        <f>'Final Project Dataset'!H8</f>
        <v>5</v>
      </c>
      <c r="B8">
        <f>'Final Project Dataset'!N8</f>
        <v>749.95</v>
      </c>
    </row>
    <row r="9" spans="1:2" x14ac:dyDescent="0.3">
      <c r="A9">
        <f>'Final Project Dataset'!H9</f>
        <v>3</v>
      </c>
      <c r="B9">
        <f>'Final Project Dataset'!N9</f>
        <v>179.97</v>
      </c>
    </row>
    <row r="10" spans="1:2" x14ac:dyDescent="0.3">
      <c r="A10">
        <f>'Final Project Dataset'!H10</f>
        <v>3</v>
      </c>
      <c r="B10">
        <f>'Final Project Dataset'!N10</f>
        <v>2699.97</v>
      </c>
    </row>
    <row r="11" spans="1:2" x14ac:dyDescent="0.3">
      <c r="A11">
        <f>'Final Project Dataset'!H11</f>
        <v>3</v>
      </c>
      <c r="B11">
        <f>'Final Project Dataset'!N11</f>
        <v>179.97</v>
      </c>
    </row>
    <row r="12" spans="1:2" x14ac:dyDescent="0.3">
      <c r="A12">
        <f>'Final Project Dataset'!H12</f>
        <v>1</v>
      </c>
      <c r="B12">
        <f>'Final Project Dataset'!N12</f>
        <v>149.99</v>
      </c>
    </row>
    <row r="13" spans="1:2" x14ac:dyDescent="0.3">
      <c r="A13">
        <f>'Final Project Dataset'!H13</f>
        <v>5</v>
      </c>
      <c r="B13">
        <f>'Final Project Dataset'!N13</f>
        <v>749.95</v>
      </c>
    </row>
    <row r="14" spans="1:2" x14ac:dyDescent="0.3">
      <c r="A14">
        <f>'Final Project Dataset'!H14</f>
        <v>3</v>
      </c>
      <c r="B14">
        <f>'Final Project Dataset'!N14</f>
        <v>449.97</v>
      </c>
    </row>
    <row r="15" spans="1:2" x14ac:dyDescent="0.3">
      <c r="A15">
        <f>'Final Project Dataset'!H15</f>
        <v>3</v>
      </c>
      <c r="B15">
        <f>'Final Project Dataset'!N15</f>
        <v>179.97</v>
      </c>
    </row>
    <row r="16" spans="1:2" x14ac:dyDescent="0.3">
      <c r="A16">
        <f>'Final Project Dataset'!H16</f>
        <v>3</v>
      </c>
      <c r="B16">
        <f>'Final Project Dataset'!N16</f>
        <v>2099.9699999999998</v>
      </c>
    </row>
    <row r="17" spans="1:2" x14ac:dyDescent="0.3">
      <c r="A17">
        <f>'Final Project Dataset'!H17</f>
        <v>1</v>
      </c>
      <c r="B17">
        <f>'Final Project Dataset'!N17</f>
        <v>899.99</v>
      </c>
    </row>
    <row r="18" spans="1:2" x14ac:dyDescent="0.3">
      <c r="A18">
        <f>'Final Project Dataset'!H18</f>
        <v>4</v>
      </c>
      <c r="B18">
        <f>'Final Project Dataset'!N18</f>
        <v>599.96</v>
      </c>
    </row>
    <row r="19" spans="1:2" x14ac:dyDescent="0.3">
      <c r="A19">
        <f>'Final Project Dataset'!H19</f>
        <v>2</v>
      </c>
      <c r="B19">
        <f>'Final Project Dataset'!N19</f>
        <v>1399.98</v>
      </c>
    </row>
    <row r="20" spans="1:2" x14ac:dyDescent="0.3">
      <c r="A20">
        <f>'Final Project Dataset'!H20</f>
        <v>4</v>
      </c>
      <c r="B20">
        <f>'Final Project Dataset'!N20</f>
        <v>3599.96</v>
      </c>
    </row>
    <row r="21" spans="1:2" x14ac:dyDescent="0.3">
      <c r="A21">
        <f>'Final Project Dataset'!H21</f>
        <v>3</v>
      </c>
      <c r="B21">
        <f>'Final Project Dataset'!N21</f>
        <v>749.97</v>
      </c>
    </row>
    <row r="22" spans="1:2" x14ac:dyDescent="0.3">
      <c r="A22">
        <f>'Final Project Dataset'!H22</f>
        <v>5</v>
      </c>
      <c r="B22">
        <f>'Final Project Dataset'!N22</f>
        <v>3499.95</v>
      </c>
    </row>
    <row r="23" spans="1:2" x14ac:dyDescent="0.3">
      <c r="A23">
        <f>'Final Project Dataset'!H23</f>
        <v>4</v>
      </c>
      <c r="B23">
        <f>'Final Project Dataset'!N23</f>
        <v>2799.96</v>
      </c>
    </row>
    <row r="24" spans="1:2" x14ac:dyDescent="0.3">
      <c r="A24">
        <f>'Final Project Dataset'!H24</f>
        <v>4</v>
      </c>
      <c r="B24">
        <f>'Final Project Dataset'!N24</f>
        <v>999.96</v>
      </c>
    </row>
    <row r="25" spans="1:2" x14ac:dyDescent="0.3">
      <c r="A25">
        <f>'Final Project Dataset'!H25</f>
        <v>4</v>
      </c>
      <c r="B25">
        <f>'Final Project Dataset'!N25</f>
        <v>1199.96</v>
      </c>
    </row>
    <row r="26" spans="1:2" x14ac:dyDescent="0.3">
      <c r="A26">
        <f>'Final Project Dataset'!H26</f>
        <v>5</v>
      </c>
      <c r="B26">
        <f>'Final Project Dataset'!N26</f>
        <v>1249.95</v>
      </c>
    </row>
    <row r="27" spans="1:2" x14ac:dyDescent="0.3">
      <c r="A27">
        <f>'Final Project Dataset'!H27</f>
        <v>5</v>
      </c>
      <c r="B27">
        <f>'Final Project Dataset'!N27</f>
        <v>1499.95</v>
      </c>
    </row>
    <row r="28" spans="1:2" x14ac:dyDescent="0.3">
      <c r="A28">
        <f>'Final Project Dataset'!H28</f>
        <v>3</v>
      </c>
      <c r="B28">
        <f>'Final Project Dataset'!N28</f>
        <v>239.97</v>
      </c>
    </row>
    <row r="29" spans="1:2" x14ac:dyDescent="0.3">
      <c r="A29">
        <f>'Final Project Dataset'!H29</f>
        <v>5</v>
      </c>
      <c r="B29">
        <f>'Final Project Dataset'!N29</f>
        <v>449.95</v>
      </c>
    </row>
    <row r="30" spans="1:2" x14ac:dyDescent="0.3">
      <c r="A30">
        <f>'Final Project Dataset'!H30</f>
        <v>2</v>
      </c>
      <c r="B30">
        <f>'Final Project Dataset'!N30</f>
        <v>119.98</v>
      </c>
    </row>
    <row r="31" spans="1:2" x14ac:dyDescent="0.3">
      <c r="A31">
        <f>'Final Project Dataset'!H31</f>
        <v>4</v>
      </c>
      <c r="B31">
        <f>'Final Project Dataset'!N31</f>
        <v>239.96</v>
      </c>
    </row>
    <row r="32" spans="1:2" x14ac:dyDescent="0.3">
      <c r="A32">
        <f>'Final Project Dataset'!H32</f>
        <v>5</v>
      </c>
      <c r="B32">
        <f>'Final Project Dataset'!N32</f>
        <v>999.95</v>
      </c>
    </row>
    <row r="33" spans="1:2" x14ac:dyDescent="0.3">
      <c r="A33">
        <f>'Final Project Dataset'!H33</f>
        <v>2</v>
      </c>
      <c r="B33">
        <f>'Final Project Dataset'!N33</f>
        <v>299.98</v>
      </c>
    </row>
    <row r="34" spans="1:2" x14ac:dyDescent="0.3">
      <c r="A34">
        <f>'Final Project Dataset'!H34</f>
        <v>3</v>
      </c>
      <c r="B34">
        <f>'Final Project Dataset'!N34</f>
        <v>449.97</v>
      </c>
    </row>
    <row r="35" spans="1:2" x14ac:dyDescent="0.3">
      <c r="A35">
        <f>'Final Project Dataset'!H35</f>
        <v>1</v>
      </c>
      <c r="B35">
        <f>'Final Project Dataset'!N35</f>
        <v>899.99</v>
      </c>
    </row>
    <row r="36" spans="1:2" x14ac:dyDescent="0.3">
      <c r="A36">
        <f>'Final Project Dataset'!H36</f>
        <v>3</v>
      </c>
      <c r="B36">
        <f>'Final Project Dataset'!N36</f>
        <v>899.97</v>
      </c>
    </row>
    <row r="37" spans="1:2" x14ac:dyDescent="0.3">
      <c r="A37">
        <f>'Final Project Dataset'!H37</f>
        <v>3</v>
      </c>
      <c r="B37">
        <f>'Final Project Dataset'!N37</f>
        <v>239.97</v>
      </c>
    </row>
    <row r="38" spans="1:2" x14ac:dyDescent="0.3">
      <c r="A38">
        <f>'Final Project Dataset'!H38</f>
        <v>3</v>
      </c>
      <c r="B38">
        <f>'Final Project Dataset'!N38</f>
        <v>599.97</v>
      </c>
    </row>
    <row r="39" spans="1:2" x14ac:dyDescent="0.3">
      <c r="A39">
        <f>'Final Project Dataset'!H39</f>
        <v>5</v>
      </c>
      <c r="B39">
        <f>'Final Project Dataset'!N39</f>
        <v>3499.95</v>
      </c>
    </row>
    <row r="40" spans="1:2" x14ac:dyDescent="0.3">
      <c r="A40">
        <f>'Final Project Dataset'!H40</f>
        <v>3</v>
      </c>
      <c r="B40">
        <f>'Final Project Dataset'!N40</f>
        <v>269.97000000000003</v>
      </c>
    </row>
    <row r="41" spans="1:2" x14ac:dyDescent="0.3">
      <c r="A41">
        <f>'Final Project Dataset'!H41</f>
        <v>1</v>
      </c>
      <c r="B41">
        <f>'Final Project Dataset'!N41</f>
        <v>79.989999999999995</v>
      </c>
    </row>
    <row r="42" spans="1:2" x14ac:dyDescent="0.3">
      <c r="A42">
        <f>'Final Project Dataset'!H42</f>
        <v>2</v>
      </c>
      <c r="B42">
        <f>'Final Project Dataset'!N42</f>
        <v>119.98</v>
      </c>
    </row>
    <row r="43" spans="1:2" x14ac:dyDescent="0.3">
      <c r="A43">
        <f>'Final Project Dataset'!H43</f>
        <v>1</v>
      </c>
      <c r="B43">
        <f>'Final Project Dataset'!N43</f>
        <v>89.99</v>
      </c>
    </row>
    <row r="44" spans="1:2" x14ac:dyDescent="0.3">
      <c r="A44">
        <f>'Final Project Dataset'!H44</f>
        <v>5</v>
      </c>
      <c r="B44">
        <f>'Final Project Dataset'!N44</f>
        <v>449.95</v>
      </c>
    </row>
    <row r="45" spans="1:2" x14ac:dyDescent="0.3">
      <c r="A45">
        <f>'Final Project Dataset'!H45</f>
        <v>5</v>
      </c>
      <c r="B45">
        <f>'Final Project Dataset'!N45</f>
        <v>1249.95</v>
      </c>
    </row>
    <row r="46" spans="1:2" x14ac:dyDescent="0.3">
      <c r="A46">
        <f>'Final Project Dataset'!H46</f>
        <v>1</v>
      </c>
      <c r="B46">
        <f>'Final Project Dataset'!N46</f>
        <v>89.99</v>
      </c>
    </row>
    <row r="47" spans="1:2" x14ac:dyDescent="0.3">
      <c r="A47">
        <f>'Final Project Dataset'!H47</f>
        <v>2</v>
      </c>
      <c r="B47">
        <f>'Final Project Dataset'!N47</f>
        <v>299.98</v>
      </c>
    </row>
    <row r="48" spans="1:2" x14ac:dyDescent="0.3">
      <c r="A48">
        <f>'Final Project Dataset'!H48</f>
        <v>4</v>
      </c>
      <c r="B48">
        <f>'Final Project Dataset'!N48</f>
        <v>239.96</v>
      </c>
    </row>
    <row r="49" spans="1:2" x14ac:dyDescent="0.3">
      <c r="A49">
        <f>'Final Project Dataset'!H49</f>
        <v>5</v>
      </c>
      <c r="B49">
        <f>'Final Project Dataset'!N49</f>
        <v>449.95</v>
      </c>
    </row>
    <row r="50" spans="1:2" x14ac:dyDescent="0.3">
      <c r="A50">
        <f>'Final Project Dataset'!H50</f>
        <v>2</v>
      </c>
      <c r="B50">
        <f>'Final Project Dataset'!N50</f>
        <v>179.98</v>
      </c>
    </row>
    <row r="51" spans="1:2" x14ac:dyDescent="0.3">
      <c r="A51">
        <f>'Final Project Dataset'!H51</f>
        <v>5</v>
      </c>
      <c r="B51">
        <f>'Final Project Dataset'!N51</f>
        <v>4499.95</v>
      </c>
    </row>
    <row r="52" spans="1:2" x14ac:dyDescent="0.3">
      <c r="A52">
        <f>'Final Project Dataset'!H52</f>
        <v>5</v>
      </c>
      <c r="B52">
        <f>'Final Project Dataset'!N52</f>
        <v>4499.95</v>
      </c>
    </row>
    <row r="53" spans="1:2" x14ac:dyDescent="0.3">
      <c r="A53">
        <f>'Final Project Dataset'!H53</f>
        <v>1</v>
      </c>
      <c r="B53">
        <f>'Final Project Dataset'!N53</f>
        <v>59.99</v>
      </c>
    </row>
    <row r="54" spans="1:2" x14ac:dyDescent="0.3">
      <c r="A54">
        <f>'Final Project Dataset'!H54</f>
        <v>2</v>
      </c>
      <c r="B54">
        <f>'Final Project Dataset'!N54</f>
        <v>599.98</v>
      </c>
    </row>
    <row r="55" spans="1:2" x14ac:dyDescent="0.3">
      <c r="A55">
        <f>'Final Project Dataset'!H55</f>
        <v>4</v>
      </c>
      <c r="B55">
        <f>'Final Project Dataset'!N55</f>
        <v>359.96</v>
      </c>
    </row>
    <row r="56" spans="1:2" x14ac:dyDescent="0.3">
      <c r="A56">
        <f>'Final Project Dataset'!H56</f>
        <v>1</v>
      </c>
      <c r="B56">
        <f>'Final Project Dataset'!N56</f>
        <v>79.989999999999995</v>
      </c>
    </row>
    <row r="57" spans="1:2" x14ac:dyDescent="0.3">
      <c r="A57">
        <f>'Final Project Dataset'!H57</f>
        <v>2</v>
      </c>
      <c r="B57">
        <f>'Final Project Dataset'!N57</f>
        <v>179.98</v>
      </c>
    </row>
    <row r="58" spans="1:2" x14ac:dyDescent="0.3">
      <c r="A58">
        <f>'Final Project Dataset'!H58</f>
        <v>3</v>
      </c>
      <c r="B58">
        <f>'Final Project Dataset'!N58</f>
        <v>2099.9699999999998</v>
      </c>
    </row>
    <row r="59" spans="1:2" x14ac:dyDescent="0.3">
      <c r="A59">
        <f>'Final Project Dataset'!H59</f>
        <v>4</v>
      </c>
      <c r="B59">
        <f>'Final Project Dataset'!N59</f>
        <v>3599.96</v>
      </c>
    </row>
    <row r="60" spans="1:2" x14ac:dyDescent="0.3">
      <c r="A60">
        <f>'Final Project Dataset'!H60</f>
        <v>1</v>
      </c>
      <c r="B60">
        <f>'Final Project Dataset'!N60</f>
        <v>149.99</v>
      </c>
    </row>
    <row r="61" spans="1:2" x14ac:dyDescent="0.3">
      <c r="A61">
        <f>'Final Project Dataset'!H61</f>
        <v>2</v>
      </c>
      <c r="B61">
        <f>'Final Project Dataset'!N61</f>
        <v>179.98</v>
      </c>
    </row>
    <row r="62" spans="1:2" x14ac:dyDescent="0.3">
      <c r="A62">
        <f>'Final Project Dataset'!H62</f>
        <v>1</v>
      </c>
      <c r="B62">
        <f>'Final Project Dataset'!N62</f>
        <v>89.99</v>
      </c>
    </row>
    <row r="63" spans="1:2" x14ac:dyDescent="0.3">
      <c r="A63">
        <f>'Final Project Dataset'!H63</f>
        <v>1</v>
      </c>
      <c r="B63">
        <f>'Final Project Dataset'!N63</f>
        <v>89.99</v>
      </c>
    </row>
    <row r="64" spans="1:2" x14ac:dyDescent="0.3">
      <c r="A64">
        <f>'Final Project Dataset'!H64</f>
        <v>5</v>
      </c>
      <c r="B64">
        <f>'Final Project Dataset'!N64</f>
        <v>399.95</v>
      </c>
    </row>
    <row r="65" spans="1:2" x14ac:dyDescent="0.3">
      <c r="A65">
        <f>'Final Project Dataset'!H65</f>
        <v>1</v>
      </c>
      <c r="B65">
        <f>'Final Project Dataset'!N65</f>
        <v>149.99</v>
      </c>
    </row>
    <row r="66" spans="1:2" x14ac:dyDescent="0.3">
      <c r="A66">
        <f>'Final Project Dataset'!H66</f>
        <v>2</v>
      </c>
      <c r="B66">
        <f>'Final Project Dataset'!N66</f>
        <v>1399.98</v>
      </c>
    </row>
    <row r="67" spans="1:2" x14ac:dyDescent="0.3">
      <c r="A67">
        <f>'Final Project Dataset'!H67</f>
        <v>5</v>
      </c>
      <c r="B67">
        <f>'Final Project Dataset'!N67</f>
        <v>449.95</v>
      </c>
    </row>
    <row r="68" spans="1:2" x14ac:dyDescent="0.3">
      <c r="A68">
        <f>'Final Project Dataset'!H68</f>
        <v>4</v>
      </c>
      <c r="B68">
        <f>'Final Project Dataset'!N68</f>
        <v>239.96</v>
      </c>
    </row>
    <row r="69" spans="1:2" x14ac:dyDescent="0.3">
      <c r="A69">
        <f>'Final Project Dataset'!H69</f>
        <v>1</v>
      </c>
      <c r="B69">
        <f>'Final Project Dataset'!N69</f>
        <v>149.99</v>
      </c>
    </row>
    <row r="70" spans="1:2" x14ac:dyDescent="0.3">
      <c r="A70">
        <f>'Final Project Dataset'!H70</f>
        <v>1</v>
      </c>
      <c r="B70">
        <f>'Final Project Dataset'!N70</f>
        <v>299.99</v>
      </c>
    </row>
    <row r="71" spans="1:2" x14ac:dyDescent="0.3">
      <c r="A71">
        <f>'Final Project Dataset'!H71</f>
        <v>2</v>
      </c>
      <c r="B71">
        <f>'Final Project Dataset'!N71</f>
        <v>399.98</v>
      </c>
    </row>
    <row r="72" spans="1:2" x14ac:dyDescent="0.3">
      <c r="A72">
        <f>'Final Project Dataset'!H72</f>
        <v>3</v>
      </c>
      <c r="B72">
        <f>'Final Project Dataset'!N72</f>
        <v>179.97</v>
      </c>
    </row>
    <row r="73" spans="1:2" x14ac:dyDescent="0.3">
      <c r="A73">
        <f>'Final Project Dataset'!H73</f>
        <v>3</v>
      </c>
      <c r="B73">
        <f>'Final Project Dataset'!N73</f>
        <v>449.97</v>
      </c>
    </row>
    <row r="74" spans="1:2" x14ac:dyDescent="0.3">
      <c r="A74">
        <f>'Final Project Dataset'!H74</f>
        <v>3</v>
      </c>
      <c r="B74">
        <f>'Final Project Dataset'!N74</f>
        <v>599.97</v>
      </c>
    </row>
    <row r="75" spans="1:2" x14ac:dyDescent="0.3">
      <c r="A75">
        <f>'Final Project Dataset'!H75</f>
        <v>1</v>
      </c>
      <c r="B75">
        <f>'Final Project Dataset'!N75</f>
        <v>899.99</v>
      </c>
    </row>
    <row r="76" spans="1:2" x14ac:dyDescent="0.3">
      <c r="A76">
        <f>'Final Project Dataset'!H76</f>
        <v>5</v>
      </c>
      <c r="B76">
        <f>'Final Project Dataset'!N76</f>
        <v>4499.95</v>
      </c>
    </row>
    <row r="77" spans="1:2" x14ac:dyDescent="0.3">
      <c r="A77">
        <f>'Final Project Dataset'!H77</f>
        <v>2</v>
      </c>
      <c r="B77">
        <f>'Final Project Dataset'!N77</f>
        <v>119.98</v>
      </c>
    </row>
    <row r="78" spans="1:2" x14ac:dyDescent="0.3">
      <c r="A78">
        <f>'Final Project Dataset'!H78</f>
        <v>4</v>
      </c>
      <c r="B78">
        <f>'Final Project Dataset'!N78</f>
        <v>999.96</v>
      </c>
    </row>
    <row r="79" spans="1:2" x14ac:dyDescent="0.3">
      <c r="A79">
        <f>'Final Project Dataset'!H79</f>
        <v>2</v>
      </c>
      <c r="B79">
        <f>'Final Project Dataset'!N79</f>
        <v>499.98</v>
      </c>
    </row>
    <row r="80" spans="1:2" x14ac:dyDescent="0.3">
      <c r="A80">
        <f>'Final Project Dataset'!H80</f>
        <v>1</v>
      </c>
      <c r="B80">
        <f>'Final Project Dataset'!N80</f>
        <v>299.99</v>
      </c>
    </row>
    <row r="81" spans="1:2" x14ac:dyDescent="0.3">
      <c r="A81">
        <f>'Final Project Dataset'!H81</f>
        <v>2</v>
      </c>
      <c r="B81">
        <f>'Final Project Dataset'!N81</f>
        <v>179.98</v>
      </c>
    </row>
    <row r="82" spans="1:2" x14ac:dyDescent="0.3">
      <c r="A82">
        <f>'Final Project Dataset'!H82</f>
        <v>3</v>
      </c>
      <c r="B82">
        <f>'Final Project Dataset'!N82</f>
        <v>899.97</v>
      </c>
    </row>
    <row r="83" spans="1:2" x14ac:dyDescent="0.3">
      <c r="A83">
        <f>'Final Project Dataset'!H83</f>
        <v>2</v>
      </c>
      <c r="B83">
        <f>'Final Project Dataset'!N83</f>
        <v>1399.98</v>
      </c>
    </row>
    <row r="84" spans="1:2" x14ac:dyDescent="0.3">
      <c r="A84">
        <f>'Final Project Dataset'!H84</f>
        <v>4</v>
      </c>
      <c r="B84">
        <f>'Final Project Dataset'!N84</f>
        <v>3599.96</v>
      </c>
    </row>
    <row r="85" spans="1:2" x14ac:dyDescent="0.3">
      <c r="A85">
        <f>'Final Project Dataset'!H85</f>
        <v>2</v>
      </c>
      <c r="B85">
        <f>'Final Project Dataset'!N85</f>
        <v>299.98</v>
      </c>
    </row>
    <row r="86" spans="1:2" x14ac:dyDescent="0.3">
      <c r="A86">
        <f>'Final Project Dataset'!H86</f>
        <v>2</v>
      </c>
      <c r="B86">
        <f>'Final Project Dataset'!N86</f>
        <v>299.98</v>
      </c>
    </row>
    <row r="87" spans="1:2" x14ac:dyDescent="0.3">
      <c r="A87">
        <f>'Final Project Dataset'!H87</f>
        <v>1</v>
      </c>
      <c r="B87">
        <f>'Final Project Dataset'!N87</f>
        <v>89.99</v>
      </c>
    </row>
    <row r="88" spans="1:2" x14ac:dyDescent="0.3">
      <c r="A88">
        <f>'Final Project Dataset'!H88</f>
        <v>5</v>
      </c>
      <c r="B88">
        <f>'Final Project Dataset'!N88</f>
        <v>1499.95</v>
      </c>
    </row>
    <row r="89" spans="1:2" x14ac:dyDescent="0.3">
      <c r="A89">
        <f>'Final Project Dataset'!H89</f>
        <v>4</v>
      </c>
      <c r="B89">
        <f>'Final Project Dataset'!N89</f>
        <v>599.96</v>
      </c>
    </row>
    <row r="90" spans="1:2" x14ac:dyDescent="0.3">
      <c r="A90">
        <f>'Final Project Dataset'!H90</f>
        <v>5</v>
      </c>
      <c r="B90">
        <f>'Final Project Dataset'!N90</f>
        <v>1249.95</v>
      </c>
    </row>
    <row r="91" spans="1:2" x14ac:dyDescent="0.3">
      <c r="A91">
        <f>'Final Project Dataset'!H91</f>
        <v>3</v>
      </c>
      <c r="B91">
        <f>'Final Project Dataset'!N91</f>
        <v>749.97</v>
      </c>
    </row>
    <row r="92" spans="1:2" x14ac:dyDescent="0.3">
      <c r="A92">
        <f>'Final Project Dataset'!H92</f>
        <v>4</v>
      </c>
      <c r="B92">
        <f>'Final Project Dataset'!N92</f>
        <v>799.96</v>
      </c>
    </row>
    <row r="93" spans="1:2" x14ac:dyDescent="0.3">
      <c r="A93">
        <f>'Final Project Dataset'!H93</f>
        <v>5</v>
      </c>
      <c r="B93">
        <f>'Final Project Dataset'!N93</f>
        <v>999.95</v>
      </c>
    </row>
    <row r="94" spans="1:2" x14ac:dyDescent="0.3">
      <c r="A94">
        <f>'Final Project Dataset'!H94</f>
        <v>2</v>
      </c>
      <c r="B94">
        <f>'Final Project Dataset'!N94</f>
        <v>179.98</v>
      </c>
    </row>
    <row r="95" spans="1:2" x14ac:dyDescent="0.3">
      <c r="A95">
        <f>'Final Project Dataset'!H95</f>
        <v>5</v>
      </c>
      <c r="B95">
        <f>'Final Project Dataset'!N95</f>
        <v>4499.95</v>
      </c>
    </row>
    <row r="96" spans="1:2" x14ac:dyDescent="0.3">
      <c r="A96">
        <f>'Final Project Dataset'!H96</f>
        <v>3</v>
      </c>
      <c r="B96">
        <f>'Final Project Dataset'!N96</f>
        <v>449.97</v>
      </c>
    </row>
    <row r="97" spans="1:2" x14ac:dyDescent="0.3">
      <c r="A97">
        <f>'Final Project Dataset'!H97</f>
        <v>5</v>
      </c>
      <c r="B97">
        <f>'Final Project Dataset'!N97</f>
        <v>749.95</v>
      </c>
    </row>
    <row r="98" spans="1:2" x14ac:dyDescent="0.3">
      <c r="A98">
        <f>'Final Project Dataset'!H98</f>
        <v>3</v>
      </c>
      <c r="B98">
        <f>'Final Project Dataset'!N98</f>
        <v>239.97</v>
      </c>
    </row>
    <row r="99" spans="1:2" x14ac:dyDescent="0.3">
      <c r="A99">
        <f>'Final Project Dataset'!H99</f>
        <v>2</v>
      </c>
      <c r="B99">
        <f>'Final Project Dataset'!N99</f>
        <v>499.98</v>
      </c>
    </row>
    <row r="100" spans="1:2" x14ac:dyDescent="0.3">
      <c r="A100">
        <f>'Final Project Dataset'!H100</f>
        <v>1</v>
      </c>
      <c r="B100">
        <f>'Final Project Dataset'!N100</f>
        <v>699.99</v>
      </c>
    </row>
    <row r="101" spans="1:2" x14ac:dyDescent="0.3">
      <c r="A101">
        <f>'Final Project Dataset'!H101</f>
        <v>3</v>
      </c>
      <c r="B101">
        <f>'Final Project Dataset'!N101</f>
        <v>449.97</v>
      </c>
    </row>
    <row r="102" spans="1:2" x14ac:dyDescent="0.3">
      <c r="A102">
        <f>'Final Project Dataset'!H102</f>
        <v>2</v>
      </c>
      <c r="B102">
        <f>'Final Project Dataset'!N102</f>
        <v>1399.98</v>
      </c>
    </row>
    <row r="103" spans="1:2" x14ac:dyDescent="0.3">
      <c r="A103">
        <f>'Final Project Dataset'!H103</f>
        <v>1</v>
      </c>
      <c r="B103">
        <f>'Final Project Dataset'!N103</f>
        <v>249.99</v>
      </c>
    </row>
    <row r="104" spans="1:2" x14ac:dyDescent="0.3">
      <c r="A104">
        <f>'Final Project Dataset'!H104</f>
        <v>1</v>
      </c>
      <c r="B104">
        <f>'Final Project Dataset'!N104</f>
        <v>249.99</v>
      </c>
    </row>
    <row r="105" spans="1:2" x14ac:dyDescent="0.3">
      <c r="A105">
        <f>'Final Project Dataset'!H105</f>
        <v>2</v>
      </c>
      <c r="B105">
        <f>'Final Project Dataset'!N105</f>
        <v>1399.98</v>
      </c>
    </row>
    <row r="106" spans="1:2" x14ac:dyDescent="0.3">
      <c r="A106">
        <f>'Final Project Dataset'!H106</f>
        <v>3</v>
      </c>
      <c r="B106">
        <f>'Final Project Dataset'!N106</f>
        <v>179.97</v>
      </c>
    </row>
    <row r="107" spans="1:2" x14ac:dyDescent="0.3">
      <c r="A107">
        <f>'Final Project Dataset'!H107</f>
        <v>3</v>
      </c>
      <c r="B107">
        <f>'Final Project Dataset'!N107</f>
        <v>179.97</v>
      </c>
    </row>
    <row r="108" spans="1:2" x14ac:dyDescent="0.3">
      <c r="A108">
        <f>'Final Project Dataset'!H108</f>
        <v>4</v>
      </c>
      <c r="B108">
        <f>'Final Project Dataset'!N108</f>
        <v>319.95999999999998</v>
      </c>
    </row>
    <row r="109" spans="1:2" x14ac:dyDescent="0.3">
      <c r="A109">
        <f>'Final Project Dataset'!H109</f>
        <v>1</v>
      </c>
      <c r="B109">
        <f>'Final Project Dataset'!N109</f>
        <v>79.989999999999995</v>
      </c>
    </row>
    <row r="110" spans="1:2" x14ac:dyDescent="0.3">
      <c r="A110">
        <f>'Final Project Dataset'!H110</f>
        <v>3</v>
      </c>
      <c r="B110">
        <f>'Final Project Dataset'!N110</f>
        <v>899.97</v>
      </c>
    </row>
    <row r="111" spans="1:2" x14ac:dyDescent="0.3">
      <c r="A111">
        <f>'Final Project Dataset'!H111</f>
        <v>2</v>
      </c>
      <c r="B111">
        <f>'Final Project Dataset'!N111</f>
        <v>179.98</v>
      </c>
    </row>
    <row r="112" spans="1:2" x14ac:dyDescent="0.3">
      <c r="A112">
        <f>'Final Project Dataset'!H112</f>
        <v>4</v>
      </c>
      <c r="B112">
        <f>'Final Project Dataset'!N112</f>
        <v>599.96</v>
      </c>
    </row>
    <row r="113" spans="1:2" x14ac:dyDescent="0.3">
      <c r="A113">
        <f>'Final Project Dataset'!H113</f>
        <v>2</v>
      </c>
      <c r="B113">
        <f>'Final Project Dataset'!N113</f>
        <v>499.98</v>
      </c>
    </row>
    <row r="114" spans="1:2" x14ac:dyDescent="0.3">
      <c r="A114">
        <f>'Final Project Dataset'!H114</f>
        <v>4</v>
      </c>
      <c r="B114">
        <f>'Final Project Dataset'!N114</f>
        <v>799.96</v>
      </c>
    </row>
    <row r="115" spans="1:2" x14ac:dyDescent="0.3">
      <c r="A115">
        <f>'Final Project Dataset'!H115</f>
        <v>5</v>
      </c>
      <c r="B115">
        <f>'Final Project Dataset'!N115</f>
        <v>449.95</v>
      </c>
    </row>
    <row r="116" spans="1:2" x14ac:dyDescent="0.3">
      <c r="A116">
        <f>'Final Project Dataset'!H116</f>
        <v>1</v>
      </c>
      <c r="B116">
        <f>'Final Project Dataset'!N116</f>
        <v>149.99</v>
      </c>
    </row>
    <row r="117" spans="1:2" x14ac:dyDescent="0.3">
      <c r="A117">
        <f>'Final Project Dataset'!H117</f>
        <v>4</v>
      </c>
      <c r="B117">
        <f>'Final Project Dataset'!N117</f>
        <v>2799.96</v>
      </c>
    </row>
    <row r="118" spans="1:2" x14ac:dyDescent="0.3">
      <c r="A118">
        <f>'Final Project Dataset'!H118</f>
        <v>3</v>
      </c>
      <c r="B118">
        <f>'Final Project Dataset'!N118</f>
        <v>2699.97</v>
      </c>
    </row>
    <row r="119" spans="1:2" x14ac:dyDescent="0.3">
      <c r="A119">
        <f>'Final Project Dataset'!H119</f>
        <v>3</v>
      </c>
      <c r="B119">
        <f>'Final Project Dataset'!N119</f>
        <v>449.97</v>
      </c>
    </row>
    <row r="120" spans="1:2" x14ac:dyDescent="0.3">
      <c r="A120">
        <f>'Final Project Dataset'!H120</f>
        <v>2</v>
      </c>
      <c r="B120">
        <f>'Final Project Dataset'!N120</f>
        <v>599.98</v>
      </c>
    </row>
    <row r="121" spans="1:2" x14ac:dyDescent="0.3">
      <c r="A121">
        <f>'Final Project Dataset'!H121</f>
        <v>1</v>
      </c>
      <c r="B121">
        <f>'Final Project Dataset'!N121</f>
        <v>199.99</v>
      </c>
    </row>
    <row r="122" spans="1:2" x14ac:dyDescent="0.3">
      <c r="A122">
        <f>'Final Project Dataset'!H122</f>
        <v>4</v>
      </c>
      <c r="B122">
        <f>'Final Project Dataset'!N122</f>
        <v>1199.96</v>
      </c>
    </row>
    <row r="123" spans="1:2" x14ac:dyDescent="0.3">
      <c r="A123">
        <f>'Final Project Dataset'!H123</f>
        <v>2</v>
      </c>
      <c r="B123">
        <f>'Final Project Dataset'!N123</f>
        <v>119.98</v>
      </c>
    </row>
    <row r="124" spans="1:2" x14ac:dyDescent="0.3">
      <c r="A124">
        <f>'Final Project Dataset'!H124</f>
        <v>4</v>
      </c>
      <c r="B124">
        <f>'Final Project Dataset'!N124</f>
        <v>599.96</v>
      </c>
    </row>
    <row r="125" spans="1:2" x14ac:dyDescent="0.3">
      <c r="A125">
        <f>'Final Project Dataset'!H125</f>
        <v>2</v>
      </c>
      <c r="B125">
        <f>'Final Project Dataset'!N125</f>
        <v>1399.98</v>
      </c>
    </row>
    <row r="126" spans="1:2" x14ac:dyDescent="0.3">
      <c r="A126">
        <f>'Final Project Dataset'!H126</f>
        <v>3</v>
      </c>
      <c r="B126">
        <f>'Final Project Dataset'!N126</f>
        <v>449.97</v>
      </c>
    </row>
    <row r="127" spans="1:2" x14ac:dyDescent="0.3">
      <c r="A127">
        <f>'Final Project Dataset'!H127</f>
        <v>3</v>
      </c>
      <c r="B127">
        <f>'Final Project Dataset'!N127</f>
        <v>899.97</v>
      </c>
    </row>
    <row r="128" spans="1:2" x14ac:dyDescent="0.3">
      <c r="A128">
        <f>'Final Project Dataset'!H128</f>
        <v>3</v>
      </c>
      <c r="B128">
        <f>'Final Project Dataset'!N128</f>
        <v>2699.97</v>
      </c>
    </row>
    <row r="129" spans="1:2" x14ac:dyDescent="0.3">
      <c r="A129">
        <f>'Final Project Dataset'!H129</f>
        <v>5</v>
      </c>
      <c r="B129">
        <f>'Final Project Dataset'!N129</f>
        <v>3499.95</v>
      </c>
    </row>
    <row r="130" spans="1:2" x14ac:dyDescent="0.3">
      <c r="A130">
        <f>'Final Project Dataset'!H130</f>
        <v>4</v>
      </c>
      <c r="B130">
        <f>'Final Project Dataset'!N130</f>
        <v>2799.96</v>
      </c>
    </row>
    <row r="131" spans="1:2" x14ac:dyDescent="0.3">
      <c r="A131">
        <f>'Final Project Dataset'!H131</f>
        <v>1</v>
      </c>
      <c r="B131">
        <f>'Final Project Dataset'!N131</f>
        <v>899.99</v>
      </c>
    </row>
    <row r="132" spans="1:2" x14ac:dyDescent="0.3">
      <c r="A132">
        <f>'Final Project Dataset'!H132</f>
        <v>2</v>
      </c>
      <c r="B132">
        <f>'Final Project Dataset'!N132</f>
        <v>299.98</v>
      </c>
    </row>
    <row r="133" spans="1:2" x14ac:dyDescent="0.3">
      <c r="A133">
        <f>'Final Project Dataset'!H133</f>
        <v>3</v>
      </c>
      <c r="B133">
        <f>'Final Project Dataset'!N133</f>
        <v>269.97000000000003</v>
      </c>
    </row>
    <row r="134" spans="1:2" x14ac:dyDescent="0.3">
      <c r="A134">
        <f>'Final Project Dataset'!H134</f>
        <v>2</v>
      </c>
      <c r="B134">
        <f>'Final Project Dataset'!N134</f>
        <v>299.98</v>
      </c>
    </row>
    <row r="135" spans="1:2" x14ac:dyDescent="0.3">
      <c r="A135">
        <f>'Final Project Dataset'!H135</f>
        <v>2</v>
      </c>
      <c r="B135">
        <f>'Final Project Dataset'!N135</f>
        <v>1399.98</v>
      </c>
    </row>
    <row r="136" spans="1:2" x14ac:dyDescent="0.3">
      <c r="A136">
        <f>'Final Project Dataset'!H136</f>
        <v>5</v>
      </c>
      <c r="B136">
        <f>'Final Project Dataset'!N136</f>
        <v>3499.95</v>
      </c>
    </row>
    <row r="137" spans="1:2" x14ac:dyDescent="0.3">
      <c r="A137">
        <f>'Final Project Dataset'!H137</f>
        <v>3</v>
      </c>
      <c r="B137">
        <f>'Final Project Dataset'!N137</f>
        <v>269.97000000000003</v>
      </c>
    </row>
    <row r="138" spans="1:2" x14ac:dyDescent="0.3">
      <c r="A138">
        <f>'Final Project Dataset'!H138</f>
        <v>5</v>
      </c>
      <c r="B138">
        <f>'Final Project Dataset'!N138</f>
        <v>1249.95</v>
      </c>
    </row>
    <row r="139" spans="1:2" x14ac:dyDescent="0.3">
      <c r="A139">
        <f>'Final Project Dataset'!H139</f>
        <v>3</v>
      </c>
      <c r="B139">
        <f>'Final Project Dataset'!N139</f>
        <v>899.97</v>
      </c>
    </row>
    <row r="140" spans="1:2" x14ac:dyDescent="0.3">
      <c r="A140">
        <f>'Final Project Dataset'!H140</f>
        <v>3</v>
      </c>
      <c r="B140">
        <f>'Final Project Dataset'!N140</f>
        <v>269.97000000000003</v>
      </c>
    </row>
    <row r="141" spans="1:2" x14ac:dyDescent="0.3">
      <c r="A141">
        <f>'Final Project Dataset'!H141</f>
        <v>2</v>
      </c>
      <c r="B141">
        <f>'Final Project Dataset'!N141</f>
        <v>299.98</v>
      </c>
    </row>
    <row r="142" spans="1:2" x14ac:dyDescent="0.3">
      <c r="A142">
        <f>'Final Project Dataset'!H142</f>
        <v>1</v>
      </c>
      <c r="B142">
        <f>'Final Project Dataset'!N142</f>
        <v>249.99</v>
      </c>
    </row>
    <row r="143" spans="1:2" x14ac:dyDescent="0.3">
      <c r="A143">
        <f>'Final Project Dataset'!H143</f>
        <v>3</v>
      </c>
      <c r="B143">
        <f>'Final Project Dataset'!N143</f>
        <v>449.97</v>
      </c>
    </row>
    <row r="144" spans="1:2" x14ac:dyDescent="0.3">
      <c r="A144">
        <f>'Final Project Dataset'!H144</f>
        <v>5</v>
      </c>
      <c r="B144">
        <f>'Final Project Dataset'!N144</f>
        <v>299.95</v>
      </c>
    </row>
    <row r="145" spans="1:2" x14ac:dyDescent="0.3">
      <c r="A145">
        <f>'Final Project Dataset'!H145</f>
        <v>4</v>
      </c>
      <c r="B145">
        <f>'Final Project Dataset'!N145</f>
        <v>999.96</v>
      </c>
    </row>
    <row r="146" spans="1:2" x14ac:dyDescent="0.3">
      <c r="A146">
        <f>'Final Project Dataset'!H146</f>
        <v>5</v>
      </c>
      <c r="B146">
        <f>'Final Project Dataset'!N146</f>
        <v>749.95</v>
      </c>
    </row>
    <row r="147" spans="1:2" x14ac:dyDescent="0.3">
      <c r="A147">
        <f>'Final Project Dataset'!H147</f>
        <v>3</v>
      </c>
      <c r="B147">
        <f>'Final Project Dataset'!N147</f>
        <v>179.97</v>
      </c>
    </row>
    <row r="148" spans="1:2" x14ac:dyDescent="0.3">
      <c r="A148">
        <f>'Final Project Dataset'!H148</f>
        <v>5</v>
      </c>
      <c r="B148">
        <f>'Final Project Dataset'!N148</f>
        <v>749.95</v>
      </c>
    </row>
    <row r="149" spans="1:2" x14ac:dyDescent="0.3">
      <c r="A149">
        <f>'Final Project Dataset'!H149</f>
        <v>2</v>
      </c>
      <c r="B149">
        <f>'Final Project Dataset'!N149</f>
        <v>1399.98</v>
      </c>
    </row>
    <row r="150" spans="1:2" x14ac:dyDescent="0.3">
      <c r="A150">
        <f>'Final Project Dataset'!H150</f>
        <v>4</v>
      </c>
      <c r="B150">
        <f>'Final Project Dataset'!N150</f>
        <v>799.96</v>
      </c>
    </row>
    <row r="151" spans="1:2" x14ac:dyDescent="0.3">
      <c r="A151">
        <f>'Final Project Dataset'!H151</f>
        <v>1</v>
      </c>
      <c r="B151">
        <f>'Final Project Dataset'!N151</f>
        <v>59.99</v>
      </c>
    </row>
    <row r="152" spans="1:2" x14ac:dyDescent="0.3">
      <c r="A152">
        <f>'Final Project Dataset'!H152</f>
        <v>3</v>
      </c>
      <c r="B152">
        <f>'Final Project Dataset'!N152</f>
        <v>2099.9699999999998</v>
      </c>
    </row>
    <row r="153" spans="1:2" x14ac:dyDescent="0.3">
      <c r="A153">
        <f>'Final Project Dataset'!H153</f>
        <v>5</v>
      </c>
      <c r="B153">
        <f>'Final Project Dataset'!N153</f>
        <v>1249.95</v>
      </c>
    </row>
    <row r="154" spans="1:2" x14ac:dyDescent="0.3">
      <c r="A154">
        <f>'Final Project Dataset'!H154</f>
        <v>2</v>
      </c>
      <c r="B154">
        <f>'Final Project Dataset'!N154</f>
        <v>299.98</v>
      </c>
    </row>
    <row r="155" spans="1:2" x14ac:dyDescent="0.3">
      <c r="A155">
        <f>'Final Project Dataset'!H155</f>
        <v>3</v>
      </c>
      <c r="B155">
        <f>'Final Project Dataset'!N155</f>
        <v>899.97</v>
      </c>
    </row>
    <row r="156" spans="1:2" x14ac:dyDescent="0.3">
      <c r="A156">
        <f>'Final Project Dataset'!H156</f>
        <v>5</v>
      </c>
      <c r="B156">
        <f>'Final Project Dataset'!N156</f>
        <v>1249.95</v>
      </c>
    </row>
    <row r="157" spans="1:2" x14ac:dyDescent="0.3">
      <c r="A157">
        <f>'Final Project Dataset'!H157</f>
        <v>2</v>
      </c>
      <c r="B157">
        <f>'Final Project Dataset'!N157</f>
        <v>299.98</v>
      </c>
    </row>
    <row r="158" spans="1:2" x14ac:dyDescent="0.3">
      <c r="A158">
        <f>'Final Project Dataset'!H158</f>
        <v>5</v>
      </c>
      <c r="B158">
        <f>'Final Project Dataset'!N158</f>
        <v>3499.95</v>
      </c>
    </row>
    <row r="159" spans="1:2" x14ac:dyDescent="0.3">
      <c r="A159">
        <f>'Final Project Dataset'!H159</f>
        <v>4</v>
      </c>
      <c r="B159">
        <f>'Final Project Dataset'!N159</f>
        <v>999.96</v>
      </c>
    </row>
    <row r="160" spans="1:2" x14ac:dyDescent="0.3">
      <c r="A160">
        <f>'Final Project Dataset'!H160</f>
        <v>4</v>
      </c>
      <c r="B160">
        <f>'Final Project Dataset'!N160</f>
        <v>2799.96</v>
      </c>
    </row>
    <row r="161" spans="1:2" x14ac:dyDescent="0.3">
      <c r="A161">
        <f>'Final Project Dataset'!H161</f>
        <v>2</v>
      </c>
      <c r="B161">
        <f>'Final Project Dataset'!N161</f>
        <v>499.98</v>
      </c>
    </row>
    <row r="162" spans="1:2" x14ac:dyDescent="0.3">
      <c r="A162">
        <f>'Final Project Dataset'!H162</f>
        <v>3</v>
      </c>
      <c r="B162">
        <f>'Final Project Dataset'!N162</f>
        <v>179.97</v>
      </c>
    </row>
    <row r="163" spans="1:2" x14ac:dyDescent="0.3">
      <c r="A163">
        <f>'Final Project Dataset'!H163</f>
        <v>4</v>
      </c>
      <c r="B163">
        <f>'Final Project Dataset'!N163</f>
        <v>319.95999999999998</v>
      </c>
    </row>
    <row r="164" spans="1:2" x14ac:dyDescent="0.3">
      <c r="A164">
        <f>'Final Project Dataset'!H164</f>
        <v>3</v>
      </c>
      <c r="B164">
        <f>'Final Project Dataset'!N164</f>
        <v>239.97</v>
      </c>
    </row>
    <row r="165" spans="1:2" x14ac:dyDescent="0.3">
      <c r="A165">
        <f>'Final Project Dataset'!H165</f>
        <v>2</v>
      </c>
      <c r="B165">
        <f>'Final Project Dataset'!N165</f>
        <v>1799.98</v>
      </c>
    </row>
    <row r="166" spans="1:2" x14ac:dyDescent="0.3">
      <c r="A166">
        <f>'Final Project Dataset'!H166</f>
        <v>1</v>
      </c>
      <c r="B166">
        <f>'Final Project Dataset'!N166</f>
        <v>149.99</v>
      </c>
    </row>
    <row r="167" spans="1:2" x14ac:dyDescent="0.3">
      <c r="A167">
        <f>'Final Project Dataset'!H167</f>
        <v>2</v>
      </c>
      <c r="B167">
        <f>'Final Project Dataset'!N167</f>
        <v>599.98</v>
      </c>
    </row>
    <row r="168" spans="1:2" x14ac:dyDescent="0.3">
      <c r="A168">
        <f>'Final Project Dataset'!H168</f>
        <v>2</v>
      </c>
      <c r="B168">
        <f>'Final Project Dataset'!N168</f>
        <v>119.98</v>
      </c>
    </row>
    <row r="169" spans="1:2" x14ac:dyDescent="0.3">
      <c r="A169">
        <f>'Final Project Dataset'!H169</f>
        <v>1</v>
      </c>
      <c r="B169">
        <f>'Final Project Dataset'!N169</f>
        <v>89.99</v>
      </c>
    </row>
    <row r="170" spans="1:2" x14ac:dyDescent="0.3">
      <c r="A170">
        <f>'Final Project Dataset'!H170</f>
        <v>5</v>
      </c>
      <c r="B170">
        <f>'Final Project Dataset'!N170</f>
        <v>4499.95</v>
      </c>
    </row>
    <row r="171" spans="1:2" x14ac:dyDescent="0.3">
      <c r="A171">
        <f>'Final Project Dataset'!H171</f>
        <v>2</v>
      </c>
      <c r="B171">
        <f>'Final Project Dataset'!N171</f>
        <v>299.98</v>
      </c>
    </row>
    <row r="172" spans="1:2" x14ac:dyDescent="0.3">
      <c r="A172">
        <f>'Final Project Dataset'!H172</f>
        <v>2</v>
      </c>
      <c r="B172">
        <f>'Final Project Dataset'!N172</f>
        <v>299.98</v>
      </c>
    </row>
    <row r="173" spans="1:2" x14ac:dyDescent="0.3">
      <c r="A173">
        <f>'Final Project Dataset'!H173</f>
        <v>3</v>
      </c>
      <c r="B173">
        <f>'Final Project Dataset'!N173</f>
        <v>449.97</v>
      </c>
    </row>
    <row r="174" spans="1:2" x14ac:dyDescent="0.3">
      <c r="A174">
        <f>'Final Project Dataset'!H174</f>
        <v>2</v>
      </c>
      <c r="B174">
        <f>'Final Project Dataset'!N174</f>
        <v>599.98</v>
      </c>
    </row>
    <row r="175" spans="1:2" x14ac:dyDescent="0.3">
      <c r="A175">
        <f>'Final Project Dataset'!H175</f>
        <v>2</v>
      </c>
      <c r="B175">
        <f>'Final Project Dataset'!N175</f>
        <v>599.98</v>
      </c>
    </row>
    <row r="176" spans="1:2" x14ac:dyDescent="0.3">
      <c r="A176">
        <f>'Final Project Dataset'!H176</f>
        <v>4</v>
      </c>
      <c r="B176">
        <f>'Final Project Dataset'!N176</f>
        <v>799.96</v>
      </c>
    </row>
    <row r="177" spans="1:2" x14ac:dyDescent="0.3">
      <c r="A177">
        <f>'Final Project Dataset'!H177</f>
        <v>1</v>
      </c>
      <c r="B177">
        <f>'Final Project Dataset'!N177</f>
        <v>89.99</v>
      </c>
    </row>
    <row r="178" spans="1:2" x14ac:dyDescent="0.3">
      <c r="A178">
        <f>'Final Project Dataset'!H178</f>
        <v>5</v>
      </c>
      <c r="B178">
        <f>'Final Project Dataset'!N178</f>
        <v>749.95</v>
      </c>
    </row>
    <row r="179" spans="1:2" x14ac:dyDescent="0.3">
      <c r="A179">
        <f>'Final Project Dataset'!H179</f>
        <v>1</v>
      </c>
      <c r="B179">
        <f>'Final Project Dataset'!N179</f>
        <v>899.99</v>
      </c>
    </row>
    <row r="180" spans="1:2" x14ac:dyDescent="0.3">
      <c r="A180">
        <f>'Final Project Dataset'!H180</f>
        <v>2</v>
      </c>
      <c r="B180">
        <f>'Final Project Dataset'!N180</f>
        <v>179.98</v>
      </c>
    </row>
    <row r="181" spans="1:2" x14ac:dyDescent="0.3">
      <c r="A181">
        <f>'Final Project Dataset'!H181</f>
        <v>1</v>
      </c>
      <c r="B181">
        <f>'Final Project Dataset'!N181</f>
        <v>899.99</v>
      </c>
    </row>
    <row r="182" spans="1:2" x14ac:dyDescent="0.3">
      <c r="A182">
        <f>'Final Project Dataset'!H182</f>
        <v>5</v>
      </c>
      <c r="B182">
        <f>'Final Project Dataset'!N182</f>
        <v>749.95</v>
      </c>
    </row>
    <row r="183" spans="1:2" x14ac:dyDescent="0.3">
      <c r="A183">
        <f>'Final Project Dataset'!H183</f>
        <v>3</v>
      </c>
      <c r="B183">
        <f>'Final Project Dataset'!N183</f>
        <v>899.97</v>
      </c>
    </row>
    <row r="184" spans="1:2" x14ac:dyDescent="0.3">
      <c r="A184">
        <f>'Final Project Dataset'!H184</f>
        <v>3</v>
      </c>
      <c r="B184">
        <f>'Final Project Dataset'!N184</f>
        <v>2099.9699999999998</v>
      </c>
    </row>
    <row r="185" spans="1:2" x14ac:dyDescent="0.3">
      <c r="A185">
        <f>'Final Project Dataset'!H185</f>
        <v>5</v>
      </c>
      <c r="B185">
        <f>'Final Project Dataset'!N185</f>
        <v>999.95</v>
      </c>
    </row>
    <row r="186" spans="1:2" x14ac:dyDescent="0.3">
      <c r="A186">
        <f>'Final Project Dataset'!H186</f>
        <v>5</v>
      </c>
      <c r="B186">
        <f>'Final Project Dataset'!N186</f>
        <v>1249.95</v>
      </c>
    </row>
    <row r="187" spans="1:2" x14ac:dyDescent="0.3">
      <c r="A187">
        <f>'Final Project Dataset'!H187</f>
        <v>4</v>
      </c>
      <c r="B187">
        <f>'Final Project Dataset'!N187</f>
        <v>599.96</v>
      </c>
    </row>
    <row r="188" spans="1:2" x14ac:dyDescent="0.3">
      <c r="A188">
        <f>'Final Project Dataset'!H188</f>
        <v>3</v>
      </c>
      <c r="B188">
        <f>'Final Project Dataset'!N188</f>
        <v>2099.9699999999998</v>
      </c>
    </row>
    <row r="189" spans="1:2" x14ac:dyDescent="0.3">
      <c r="A189">
        <f>'Final Project Dataset'!H189</f>
        <v>1</v>
      </c>
      <c r="B189">
        <f>'Final Project Dataset'!N189</f>
        <v>79.989999999999995</v>
      </c>
    </row>
    <row r="190" spans="1:2" x14ac:dyDescent="0.3">
      <c r="A190">
        <f>'Final Project Dataset'!H190</f>
        <v>1</v>
      </c>
      <c r="B190">
        <f>'Final Project Dataset'!N190</f>
        <v>299.99</v>
      </c>
    </row>
    <row r="191" spans="1:2" x14ac:dyDescent="0.3">
      <c r="A191">
        <f>'Final Project Dataset'!H191</f>
        <v>4</v>
      </c>
      <c r="B191">
        <f>'Final Project Dataset'!N191</f>
        <v>999.96</v>
      </c>
    </row>
    <row r="192" spans="1:2" x14ac:dyDescent="0.3">
      <c r="A192">
        <f>'Final Project Dataset'!H192</f>
        <v>2</v>
      </c>
      <c r="B192">
        <f>'Final Project Dataset'!N192</f>
        <v>299.98</v>
      </c>
    </row>
    <row r="193" spans="1:2" x14ac:dyDescent="0.3">
      <c r="A193">
        <f>'Final Project Dataset'!H193</f>
        <v>3</v>
      </c>
      <c r="B193">
        <f>'Final Project Dataset'!N193</f>
        <v>899.97</v>
      </c>
    </row>
    <row r="194" spans="1:2" x14ac:dyDescent="0.3">
      <c r="A194">
        <f>'Final Project Dataset'!H194</f>
        <v>4</v>
      </c>
      <c r="B194">
        <f>'Final Project Dataset'!N194</f>
        <v>799.96</v>
      </c>
    </row>
    <row r="195" spans="1:2" x14ac:dyDescent="0.3">
      <c r="A195">
        <f>'Final Project Dataset'!H195</f>
        <v>5</v>
      </c>
      <c r="B195">
        <f>'Final Project Dataset'!N195</f>
        <v>1499.95</v>
      </c>
    </row>
    <row r="196" spans="1:2" x14ac:dyDescent="0.3">
      <c r="A196">
        <f>'Final Project Dataset'!H196</f>
        <v>3</v>
      </c>
      <c r="B196">
        <f>'Final Project Dataset'!N196</f>
        <v>449.97</v>
      </c>
    </row>
    <row r="197" spans="1:2" x14ac:dyDescent="0.3">
      <c r="A197">
        <f>'Final Project Dataset'!H197</f>
        <v>5</v>
      </c>
      <c r="B197">
        <f>'Final Project Dataset'!N197</f>
        <v>299.95</v>
      </c>
    </row>
    <row r="198" spans="1:2" x14ac:dyDescent="0.3">
      <c r="A198">
        <f>'Final Project Dataset'!H198</f>
        <v>4</v>
      </c>
      <c r="B198">
        <f>'Final Project Dataset'!N198</f>
        <v>239.96</v>
      </c>
    </row>
    <row r="199" spans="1:2" x14ac:dyDescent="0.3">
      <c r="A199">
        <f>'Final Project Dataset'!H199</f>
        <v>4</v>
      </c>
      <c r="B199">
        <f>'Final Project Dataset'!N199</f>
        <v>999.96</v>
      </c>
    </row>
    <row r="200" spans="1:2" x14ac:dyDescent="0.3">
      <c r="A200">
        <f>'Final Project Dataset'!H200</f>
        <v>4</v>
      </c>
      <c r="B200">
        <f>'Final Project Dataset'!N200</f>
        <v>3599.96</v>
      </c>
    </row>
    <row r="201" spans="1:2" x14ac:dyDescent="0.3">
      <c r="A201">
        <f>'Final Project Dataset'!H201</f>
        <v>3</v>
      </c>
      <c r="B201">
        <f>'Final Project Dataset'!N201</f>
        <v>899.97</v>
      </c>
    </row>
    <row r="202" spans="1:2" x14ac:dyDescent="0.3">
      <c r="A202">
        <f>'Final Project Dataset'!H202</f>
        <v>2</v>
      </c>
      <c r="B202">
        <f>'Final Project Dataset'!N202</f>
        <v>1399.98</v>
      </c>
    </row>
    <row r="203" spans="1:2" x14ac:dyDescent="0.3">
      <c r="A203">
        <f>'Final Project Dataset'!H203</f>
        <v>4</v>
      </c>
      <c r="B203">
        <f>'Final Project Dataset'!N203</f>
        <v>2799.96</v>
      </c>
    </row>
    <row r="204" spans="1:2" x14ac:dyDescent="0.3">
      <c r="A204">
        <f>'Final Project Dataset'!H204</f>
        <v>2</v>
      </c>
      <c r="B204">
        <f>'Final Project Dataset'!N204</f>
        <v>179.98</v>
      </c>
    </row>
    <row r="205" spans="1:2" x14ac:dyDescent="0.3">
      <c r="A205">
        <f>'Final Project Dataset'!H205</f>
        <v>3</v>
      </c>
      <c r="B205">
        <f>'Final Project Dataset'!N205</f>
        <v>269.97000000000003</v>
      </c>
    </row>
    <row r="206" spans="1:2" x14ac:dyDescent="0.3">
      <c r="A206">
        <f>'Final Project Dataset'!H206</f>
        <v>1</v>
      </c>
      <c r="B206">
        <f>'Final Project Dataset'!N206</f>
        <v>59.99</v>
      </c>
    </row>
    <row r="207" spans="1:2" x14ac:dyDescent="0.3">
      <c r="A207">
        <f>'Final Project Dataset'!H207</f>
        <v>3</v>
      </c>
      <c r="B207">
        <f>'Final Project Dataset'!N207</f>
        <v>449.97</v>
      </c>
    </row>
    <row r="208" spans="1:2" x14ac:dyDescent="0.3">
      <c r="A208">
        <f>'Final Project Dataset'!H208</f>
        <v>5</v>
      </c>
      <c r="B208">
        <f>'Final Project Dataset'!N208</f>
        <v>1499.95</v>
      </c>
    </row>
    <row r="209" spans="1:2" x14ac:dyDescent="0.3">
      <c r="A209">
        <f>'Final Project Dataset'!H209</f>
        <v>5</v>
      </c>
      <c r="B209">
        <f>'Final Project Dataset'!N209</f>
        <v>299.95</v>
      </c>
    </row>
    <row r="210" spans="1:2" x14ac:dyDescent="0.3">
      <c r="A210">
        <f>'Final Project Dataset'!H210</f>
        <v>3</v>
      </c>
      <c r="B210">
        <f>'Final Project Dataset'!N210</f>
        <v>239.97</v>
      </c>
    </row>
    <row r="211" spans="1:2" x14ac:dyDescent="0.3">
      <c r="A211">
        <f>'Final Project Dataset'!H211</f>
        <v>3</v>
      </c>
      <c r="B211">
        <f>'Final Project Dataset'!N211</f>
        <v>599.97</v>
      </c>
    </row>
    <row r="212" spans="1:2" x14ac:dyDescent="0.3">
      <c r="A212">
        <f>'Final Project Dataset'!H212</f>
        <v>2</v>
      </c>
      <c r="B212">
        <f>'Final Project Dataset'!N212</f>
        <v>179.98</v>
      </c>
    </row>
    <row r="213" spans="1:2" x14ac:dyDescent="0.3">
      <c r="A213">
        <f>'Final Project Dataset'!H213</f>
        <v>2</v>
      </c>
      <c r="B213">
        <f>'Final Project Dataset'!N213</f>
        <v>299.98</v>
      </c>
    </row>
    <row r="214" spans="1:2" x14ac:dyDescent="0.3">
      <c r="A214">
        <f>'Final Project Dataset'!H214</f>
        <v>5</v>
      </c>
      <c r="B214">
        <f>'Final Project Dataset'!N214</f>
        <v>3499.95</v>
      </c>
    </row>
    <row r="215" spans="1:2" x14ac:dyDescent="0.3">
      <c r="A215">
        <f>'Final Project Dataset'!H215</f>
        <v>3</v>
      </c>
      <c r="B215">
        <f>'Final Project Dataset'!N215</f>
        <v>449.97</v>
      </c>
    </row>
    <row r="216" spans="1:2" x14ac:dyDescent="0.3">
      <c r="A216">
        <f>'Final Project Dataset'!H216</f>
        <v>3</v>
      </c>
      <c r="B216">
        <f>'Final Project Dataset'!N216</f>
        <v>2699.97</v>
      </c>
    </row>
    <row r="217" spans="1:2" x14ac:dyDescent="0.3">
      <c r="A217">
        <f>'Final Project Dataset'!H217</f>
        <v>3</v>
      </c>
      <c r="B217">
        <f>'Final Project Dataset'!N217</f>
        <v>599.97</v>
      </c>
    </row>
    <row r="218" spans="1:2" x14ac:dyDescent="0.3">
      <c r="A218">
        <f>'Final Project Dataset'!H218</f>
        <v>5</v>
      </c>
      <c r="B218">
        <f>'Final Project Dataset'!N218</f>
        <v>1499.95</v>
      </c>
    </row>
    <row r="219" spans="1:2" x14ac:dyDescent="0.3">
      <c r="A219">
        <f>'Final Project Dataset'!H219</f>
        <v>1</v>
      </c>
      <c r="B219">
        <f>'Final Project Dataset'!N219</f>
        <v>699.99</v>
      </c>
    </row>
    <row r="220" spans="1:2" x14ac:dyDescent="0.3">
      <c r="A220">
        <f>'Final Project Dataset'!H220</f>
        <v>1</v>
      </c>
      <c r="B220">
        <f>'Final Project Dataset'!N220</f>
        <v>699.99</v>
      </c>
    </row>
    <row r="221" spans="1:2" x14ac:dyDescent="0.3">
      <c r="A221">
        <f>'Final Project Dataset'!H221</f>
        <v>4</v>
      </c>
      <c r="B221">
        <f>'Final Project Dataset'!N221</f>
        <v>599.96</v>
      </c>
    </row>
    <row r="222" spans="1:2" x14ac:dyDescent="0.3">
      <c r="A222">
        <f>'Final Project Dataset'!H222</f>
        <v>5</v>
      </c>
      <c r="B222">
        <f>'Final Project Dataset'!N222</f>
        <v>449.95</v>
      </c>
    </row>
    <row r="223" spans="1:2" x14ac:dyDescent="0.3">
      <c r="A223">
        <f>'Final Project Dataset'!H223</f>
        <v>2</v>
      </c>
      <c r="B223">
        <f>'Final Project Dataset'!N223</f>
        <v>399.98</v>
      </c>
    </row>
    <row r="224" spans="1:2" x14ac:dyDescent="0.3">
      <c r="A224">
        <f>'Final Project Dataset'!H224</f>
        <v>4</v>
      </c>
      <c r="B224">
        <f>'Final Project Dataset'!N224</f>
        <v>239.96</v>
      </c>
    </row>
    <row r="225" spans="1:2" x14ac:dyDescent="0.3">
      <c r="A225">
        <f>'Final Project Dataset'!H225</f>
        <v>2</v>
      </c>
      <c r="B225">
        <f>'Final Project Dataset'!N225</f>
        <v>599.98</v>
      </c>
    </row>
    <row r="226" spans="1:2" x14ac:dyDescent="0.3">
      <c r="A226">
        <f>'Final Project Dataset'!H226</f>
        <v>2</v>
      </c>
      <c r="B226">
        <f>'Final Project Dataset'!N226</f>
        <v>299.98</v>
      </c>
    </row>
    <row r="227" spans="1:2" x14ac:dyDescent="0.3">
      <c r="A227">
        <f>'Final Project Dataset'!H227</f>
        <v>5</v>
      </c>
      <c r="B227">
        <f>'Final Project Dataset'!N227</f>
        <v>3499.95</v>
      </c>
    </row>
    <row r="228" spans="1:2" x14ac:dyDescent="0.3">
      <c r="A228">
        <f>'Final Project Dataset'!H228</f>
        <v>5</v>
      </c>
      <c r="B228">
        <f>'Final Project Dataset'!N228</f>
        <v>299.95</v>
      </c>
    </row>
    <row r="229" spans="1:2" x14ac:dyDescent="0.3">
      <c r="A229">
        <f>'Final Project Dataset'!H229</f>
        <v>2</v>
      </c>
      <c r="B229">
        <f>'Final Project Dataset'!N229</f>
        <v>179.98</v>
      </c>
    </row>
    <row r="230" spans="1:2" x14ac:dyDescent="0.3">
      <c r="A230">
        <f>'Final Project Dataset'!H230</f>
        <v>5</v>
      </c>
      <c r="B230">
        <f>'Final Project Dataset'!N230</f>
        <v>1249.95</v>
      </c>
    </row>
    <row r="231" spans="1:2" x14ac:dyDescent="0.3">
      <c r="A231">
        <f>'Final Project Dataset'!H231</f>
        <v>2</v>
      </c>
      <c r="B231">
        <f>'Final Project Dataset'!N231</f>
        <v>299.98</v>
      </c>
    </row>
    <row r="232" spans="1:2" x14ac:dyDescent="0.3">
      <c r="A232">
        <f>'Final Project Dataset'!H232</f>
        <v>5</v>
      </c>
      <c r="B232">
        <f>'Final Project Dataset'!N232</f>
        <v>4499.95</v>
      </c>
    </row>
    <row r="233" spans="1:2" x14ac:dyDescent="0.3">
      <c r="A233">
        <f>'Final Project Dataset'!H233</f>
        <v>4</v>
      </c>
      <c r="B233">
        <f>'Final Project Dataset'!N233</f>
        <v>599.96</v>
      </c>
    </row>
    <row r="234" spans="1:2" x14ac:dyDescent="0.3">
      <c r="A234">
        <f>'Final Project Dataset'!H234</f>
        <v>1</v>
      </c>
      <c r="B234">
        <f>'Final Project Dataset'!N234</f>
        <v>249.99</v>
      </c>
    </row>
    <row r="235" spans="1:2" x14ac:dyDescent="0.3">
      <c r="A235">
        <f>'Final Project Dataset'!H235</f>
        <v>2</v>
      </c>
      <c r="B235">
        <f>'Final Project Dataset'!N235</f>
        <v>119.98</v>
      </c>
    </row>
    <row r="236" spans="1:2" x14ac:dyDescent="0.3">
      <c r="A236">
        <f>'Final Project Dataset'!H236</f>
        <v>2</v>
      </c>
      <c r="B236">
        <f>'Final Project Dataset'!N236</f>
        <v>299.98</v>
      </c>
    </row>
    <row r="237" spans="1:2" x14ac:dyDescent="0.3">
      <c r="A237">
        <f>'Final Project Dataset'!H237</f>
        <v>3</v>
      </c>
      <c r="B237">
        <f>'Final Project Dataset'!N237</f>
        <v>2699.97</v>
      </c>
    </row>
    <row r="238" spans="1:2" x14ac:dyDescent="0.3">
      <c r="A238">
        <f>'Final Project Dataset'!H238</f>
        <v>3</v>
      </c>
      <c r="B238">
        <f>'Final Project Dataset'!N238</f>
        <v>2699.97</v>
      </c>
    </row>
    <row r="239" spans="1:2" x14ac:dyDescent="0.3">
      <c r="A239">
        <f>'Final Project Dataset'!H239</f>
        <v>3</v>
      </c>
      <c r="B239">
        <f>'Final Project Dataset'!N239</f>
        <v>899.97</v>
      </c>
    </row>
    <row r="240" spans="1:2" x14ac:dyDescent="0.3">
      <c r="A240">
        <f>'Final Project Dataset'!H240</f>
        <v>4</v>
      </c>
      <c r="B240">
        <f>'Final Project Dataset'!N240</f>
        <v>599.96</v>
      </c>
    </row>
    <row r="241" spans="1:2" x14ac:dyDescent="0.3">
      <c r="A241">
        <f>'Final Project Dataset'!H241</f>
        <v>4</v>
      </c>
      <c r="B241">
        <f>'Final Project Dataset'!N241</f>
        <v>319.95999999999998</v>
      </c>
    </row>
    <row r="242" spans="1:2" x14ac:dyDescent="0.3">
      <c r="A242">
        <f>'Final Project Dataset'!H242</f>
        <v>5</v>
      </c>
      <c r="B242">
        <f>'Final Project Dataset'!N242</f>
        <v>449.95</v>
      </c>
    </row>
    <row r="243" spans="1:2" x14ac:dyDescent="0.3">
      <c r="A243">
        <f>'Final Project Dataset'!H243</f>
        <v>3</v>
      </c>
      <c r="B243">
        <f>'Final Project Dataset'!N243</f>
        <v>449.97</v>
      </c>
    </row>
    <row r="244" spans="1:2" x14ac:dyDescent="0.3">
      <c r="A244">
        <f>'Final Project Dataset'!H244</f>
        <v>2</v>
      </c>
      <c r="B244">
        <f>'Final Project Dataset'!N244</f>
        <v>179.98</v>
      </c>
    </row>
    <row r="245" spans="1:2" x14ac:dyDescent="0.3">
      <c r="A245">
        <f>'Final Project Dataset'!H245</f>
        <v>2</v>
      </c>
      <c r="B245">
        <f>'Final Project Dataset'!N245</f>
        <v>1399.98</v>
      </c>
    </row>
    <row r="246" spans="1:2" x14ac:dyDescent="0.3">
      <c r="A246">
        <f>'Final Project Dataset'!H246</f>
        <v>3</v>
      </c>
      <c r="B246">
        <f>'Final Project Dataset'!N246</f>
        <v>2699.97</v>
      </c>
    </row>
    <row r="247" spans="1:2" x14ac:dyDescent="0.3">
      <c r="A247">
        <f>'Final Project Dataset'!H247</f>
        <v>3</v>
      </c>
      <c r="B247">
        <f>'Final Project Dataset'!N247</f>
        <v>239.97</v>
      </c>
    </row>
    <row r="248" spans="1:2" x14ac:dyDescent="0.3">
      <c r="A248">
        <f>'Final Project Dataset'!H248</f>
        <v>1</v>
      </c>
      <c r="B248">
        <f>'Final Project Dataset'!N248</f>
        <v>89.99</v>
      </c>
    </row>
    <row r="249" spans="1:2" x14ac:dyDescent="0.3">
      <c r="A249">
        <f>'Final Project Dataset'!H249</f>
        <v>3</v>
      </c>
      <c r="B249">
        <f>'Final Project Dataset'!N249</f>
        <v>2099.9699999999998</v>
      </c>
    </row>
    <row r="250" spans="1:2" x14ac:dyDescent="0.3">
      <c r="A250">
        <f>'Final Project Dataset'!H250</f>
        <v>2</v>
      </c>
      <c r="B250">
        <f>'Final Project Dataset'!N250</f>
        <v>179.98</v>
      </c>
    </row>
    <row r="251" spans="1:2" x14ac:dyDescent="0.3">
      <c r="A251">
        <f>'Final Project Dataset'!H251</f>
        <v>3</v>
      </c>
      <c r="B251">
        <f>'Final Project Dataset'!N251</f>
        <v>269.97000000000003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Project Dataset</vt:lpstr>
      <vt:lpstr>Scenario Summary 2</vt:lpstr>
      <vt:lpstr>Analysis</vt:lpstr>
      <vt:lpstr>regression analysis</vt:lpstr>
      <vt:lpstr>product analysis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Patel</dc:creator>
  <cp:lastModifiedBy>Niyati Patel</cp:lastModifiedBy>
  <dcterms:created xsi:type="dcterms:W3CDTF">2026-10-08T12:27:35Z</dcterms:created>
  <dcterms:modified xsi:type="dcterms:W3CDTF">2026-10-13T13:40:39Z</dcterms:modified>
</cp:coreProperties>
</file>